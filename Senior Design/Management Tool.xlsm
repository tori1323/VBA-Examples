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en\Dropbox\Resumes\GitHub\VBA Examples\Senior Design\"/>
    </mc:Choice>
  </mc:AlternateContent>
  <xr:revisionPtr revIDLastSave="0" documentId="13_ncr:1_{73597D63-41E6-45D1-97C4-EAC16E042A02}" xr6:coauthVersionLast="44" xr6:coauthVersionMax="44" xr10:uidLastSave="{00000000-0000-0000-0000-000000000000}"/>
  <bookViews>
    <workbookView xWindow="-96" yWindow="-96" windowWidth="23232" windowHeight="12552" activeTab="6" xr2:uid="{39C469BA-137F-4529-BEF0-B7D092F6C694}"/>
  </bookViews>
  <sheets>
    <sheet name="Cover" sheetId="1" r:id="rId1"/>
    <sheet name="Work Load" sheetId="2" r:id="rId2"/>
    <sheet name="Tasking" sheetId="3" r:id="rId3"/>
    <sheet name="Milestones" sheetId="6" r:id="rId4"/>
    <sheet name="Dependencies" sheetId="7" state="hidden" r:id="rId5"/>
    <sheet name="Week Definitions" sheetId="8" state="hidden" r:id="rId6"/>
    <sheet name="For Presenations" sheetId="9" r:id="rId7"/>
  </sheets>
  <definedNames>
    <definedName name="_xlnm._FilterDatabase" localSheetId="2" hidden="1">Tasking!$A$1:$T$112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9" i="6" l="1"/>
  <c r="I10" i="6"/>
  <c r="I11" i="6"/>
  <c r="I12" i="6"/>
  <c r="I13" i="6"/>
  <c r="I14" i="6"/>
  <c r="I15" i="6"/>
  <c r="I16" i="6"/>
  <c r="H5" i="6"/>
  <c r="H6" i="6"/>
  <c r="H7" i="6"/>
  <c r="H8" i="6"/>
  <c r="H9" i="6"/>
  <c r="H10" i="6"/>
  <c r="H11" i="6"/>
  <c r="H12" i="6"/>
  <c r="H13" i="6"/>
  <c r="H14" i="6"/>
  <c r="H15" i="6"/>
  <c r="H16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H3" i="6" l="1"/>
  <c r="H4" i="6"/>
  <c r="G3" i="6"/>
  <c r="I3" i="6"/>
  <c r="I4" i="6"/>
  <c r="I5" i="6"/>
  <c r="I6" i="6"/>
  <c r="I7" i="6"/>
  <c r="I8" i="6"/>
  <c r="I2" i="6" l="1"/>
</calcChain>
</file>

<file path=xl/sharedStrings.xml><?xml version="1.0" encoding="utf-8"?>
<sst xmlns="http://schemas.openxmlformats.org/spreadsheetml/2006/main" count="792" uniqueCount="205">
  <si>
    <t>Name</t>
  </si>
  <si>
    <t>Tasking Level</t>
  </si>
  <si>
    <t>Aerodynamics</t>
  </si>
  <si>
    <t>Hours</t>
  </si>
  <si>
    <t>Description</t>
  </si>
  <si>
    <t>Person 1</t>
  </si>
  <si>
    <t>Person 2</t>
  </si>
  <si>
    <t>Person 4</t>
  </si>
  <si>
    <t>Person 5</t>
  </si>
  <si>
    <t>Person 3</t>
  </si>
  <si>
    <t>Status</t>
  </si>
  <si>
    <t>Group</t>
  </si>
  <si>
    <t>High Level Goal</t>
  </si>
  <si>
    <t>Requirements</t>
  </si>
  <si>
    <t>Management</t>
  </si>
  <si>
    <t>Descriptor</t>
  </si>
  <si>
    <t>Start</t>
  </si>
  <si>
    <t>Dependencies</t>
  </si>
  <si>
    <t>Finish</t>
  </si>
  <si>
    <t>ID Num</t>
  </si>
  <si>
    <t>Level</t>
  </si>
  <si>
    <t>Hours/Week</t>
  </si>
  <si>
    <t>Weeks</t>
  </si>
  <si>
    <t>Comp</t>
  </si>
  <si>
    <t>Milestone</t>
  </si>
  <si>
    <t>Percentage</t>
  </si>
  <si>
    <t>Week</t>
  </si>
  <si>
    <t>End</t>
  </si>
  <si>
    <t>Days</t>
  </si>
  <si>
    <t>Milestones</t>
  </si>
  <si>
    <t>CFD Testing</t>
  </si>
  <si>
    <t>Electrical</t>
  </si>
  <si>
    <t>Mechanical</t>
  </si>
  <si>
    <t>Mission</t>
  </si>
  <si>
    <t>Electrical Schematics</t>
  </si>
  <si>
    <t>BOM</t>
  </si>
  <si>
    <t>Testing Documents</t>
  </si>
  <si>
    <t>Electrical Build</t>
  </si>
  <si>
    <t>Wind Tunnel Test</t>
  </si>
  <si>
    <t>Results Prepare</t>
  </si>
  <si>
    <t>Mechanical Build</t>
  </si>
  <si>
    <t>Jack</t>
  </si>
  <si>
    <t>Research</t>
  </si>
  <si>
    <t>Jill</t>
  </si>
  <si>
    <t>Kathryn</t>
  </si>
  <si>
    <t>Krista</t>
  </si>
  <si>
    <t>Katherine</t>
  </si>
  <si>
    <t>Braden</t>
  </si>
  <si>
    <t>N/A</t>
  </si>
  <si>
    <t>Meetings</t>
  </si>
  <si>
    <t>Victoria</t>
  </si>
  <si>
    <t>Christian</t>
  </si>
  <si>
    <t>Daniel</t>
  </si>
  <si>
    <t>Patrick</t>
  </si>
  <si>
    <t>Siri</t>
  </si>
  <si>
    <t>Kevin</t>
  </si>
  <si>
    <t>John</t>
  </si>
  <si>
    <t>Misc</t>
  </si>
  <si>
    <t>Open</t>
  </si>
  <si>
    <t>Pending</t>
  </si>
  <si>
    <t>Closed</t>
  </si>
  <si>
    <t>Design Start</t>
  </si>
  <si>
    <t>End of Prelim</t>
  </si>
  <si>
    <t>Testing Prep</t>
  </si>
  <si>
    <t>Testing</t>
  </si>
  <si>
    <t>Iterations of design</t>
  </si>
  <si>
    <t>Interations of design</t>
  </si>
  <si>
    <t>Design</t>
  </si>
  <si>
    <t>CDR Reqs</t>
  </si>
  <si>
    <t>Wrap Up</t>
  </si>
  <si>
    <t>Prepare Presentation 2</t>
  </si>
  <si>
    <t>Black Box</t>
  </si>
  <si>
    <t>Something Wrong</t>
  </si>
  <si>
    <t>Test Prep</t>
  </si>
  <si>
    <t>Design Prep</t>
  </si>
  <si>
    <t>Slides</t>
  </si>
  <si>
    <t>Prelim</t>
  </si>
  <si>
    <t>Command &amp; Control Arch</t>
  </si>
  <si>
    <t>Electrical Bench</t>
  </si>
  <si>
    <t>Hot Bench I Design</t>
  </si>
  <si>
    <t>Initial Control Design</t>
  </si>
  <si>
    <t>Integrate Mech and Elec</t>
  </si>
  <si>
    <t>Hot Bench III Design</t>
  </si>
  <si>
    <t>PDR</t>
  </si>
  <si>
    <t>VLM</t>
  </si>
  <si>
    <t>Open Loop Simulink</t>
  </si>
  <si>
    <t>Mechanical Design</t>
  </si>
  <si>
    <t>Closed Loop Simulink</t>
  </si>
  <si>
    <t>PDR Reqs</t>
  </si>
  <si>
    <t>Simulink</t>
  </si>
  <si>
    <t>Schematics</t>
  </si>
  <si>
    <t xml:space="preserve">Jack </t>
  </si>
  <si>
    <t xml:space="preserve">Katherine </t>
  </si>
  <si>
    <t xml:space="preserve">Daniel 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</si>
  <si>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</si>
  <si>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</si>
  <si>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</si>
  <si>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</si>
  <si>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</si>
  <si>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</si>
  <si>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</si>
  <si>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</si>
  <si>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</si>
  <si>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</si>
  <si>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</si>
  <si>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</si>
  <si>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</si>
  <si>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</si>
  <si>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</si>
  <si>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Task 16</t>
  </si>
  <si>
    <t>Task 17</t>
  </si>
  <si>
    <t>Task 18</t>
  </si>
  <si>
    <t>Task 19</t>
  </si>
  <si>
    <t>Task 20</t>
  </si>
  <si>
    <t>Task 21</t>
  </si>
  <si>
    <t>Task 22</t>
  </si>
  <si>
    <t>Task 23</t>
  </si>
  <si>
    <t>Task 24</t>
  </si>
  <si>
    <t>Task 25</t>
  </si>
  <si>
    <t>Task 26</t>
  </si>
  <si>
    <t>Task 27</t>
  </si>
  <si>
    <t>Task 28</t>
  </si>
  <si>
    <t>Task 29</t>
  </si>
  <si>
    <t>Task 30</t>
  </si>
  <si>
    <t>Task 31</t>
  </si>
  <si>
    <t>Task 32</t>
  </si>
  <si>
    <t>Task 33</t>
  </si>
  <si>
    <t>Task 34</t>
  </si>
  <si>
    <t>Task 35</t>
  </si>
  <si>
    <t>Task 36</t>
  </si>
  <si>
    <t>Task 37</t>
  </si>
  <si>
    <t>Task 38</t>
  </si>
  <si>
    <t>Task 39</t>
  </si>
  <si>
    <t>Task 40</t>
  </si>
  <si>
    <t>Task 41</t>
  </si>
  <si>
    <t>Task 42</t>
  </si>
  <si>
    <t>Task 43</t>
  </si>
  <si>
    <t>Task 44</t>
  </si>
  <si>
    <t>Task 45</t>
  </si>
  <si>
    <t>Task 46</t>
  </si>
  <si>
    <t>Task 47</t>
  </si>
  <si>
    <t>Task 48</t>
  </si>
  <si>
    <t>Task 49</t>
  </si>
  <si>
    <t>Task 50</t>
  </si>
  <si>
    <t>Task 51</t>
  </si>
  <si>
    <t>Task 52</t>
  </si>
  <si>
    <t>Task 53</t>
  </si>
  <si>
    <t>Task 54</t>
  </si>
  <si>
    <t>Task 55</t>
  </si>
  <si>
    <t>Task 56</t>
  </si>
  <si>
    <t>Task 57</t>
  </si>
  <si>
    <t>Task 58</t>
  </si>
  <si>
    <t>Task 59</t>
  </si>
  <si>
    <t>Task 60</t>
  </si>
  <si>
    <t>Task 61</t>
  </si>
  <si>
    <t>Task 62</t>
  </si>
  <si>
    <t>Task 63</t>
  </si>
  <si>
    <t>Task 64</t>
  </si>
  <si>
    <t>Task 65</t>
  </si>
  <si>
    <t>Task 66</t>
  </si>
  <si>
    <t>Task 67</t>
  </si>
  <si>
    <t>Task 68</t>
  </si>
  <si>
    <t>Task 69</t>
  </si>
  <si>
    <t>Task 70</t>
  </si>
  <si>
    <t>Task 71</t>
  </si>
  <si>
    <t>Task 72</t>
  </si>
  <si>
    <t>Task 73</t>
  </si>
  <si>
    <t>Task 74</t>
  </si>
  <si>
    <t>Task 75</t>
  </si>
  <si>
    <t>Task 76</t>
  </si>
  <si>
    <t>Task 77</t>
  </si>
  <si>
    <t>Task 78</t>
  </si>
  <si>
    <t>Task 79</t>
  </si>
  <si>
    <t>Task 80</t>
  </si>
  <si>
    <t>Task 81</t>
  </si>
  <si>
    <t>Task 82</t>
  </si>
  <si>
    <t>Task 83</t>
  </si>
  <si>
    <t>Task 84</t>
  </si>
  <si>
    <t>Task 85</t>
  </si>
  <si>
    <t>Task 86</t>
  </si>
  <si>
    <t>Task 87</t>
  </si>
  <si>
    <t>Task 88</t>
  </si>
  <si>
    <t>Task 89</t>
  </si>
  <si>
    <t>Task 90</t>
  </si>
  <si>
    <t>Task 91</t>
  </si>
  <si>
    <t>Task 92</t>
  </si>
  <si>
    <t>Task 93</t>
  </si>
  <si>
    <t>Task 94</t>
  </si>
  <si>
    <t>Task 95</t>
  </si>
  <si>
    <t>Task 96</t>
  </si>
  <si>
    <t>Task 97</t>
  </si>
  <si>
    <t>Task 98</t>
  </si>
  <si>
    <t>Task 99</t>
  </si>
  <si>
    <t>Task 100</t>
  </si>
  <si>
    <t>Task 101</t>
  </si>
  <si>
    <t>Task 102</t>
  </si>
  <si>
    <t>Task 103</t>
  </si>
  <si>
    <t>Task 104</t>
  </si>
  <si>
    <t>Task 105</t>
  </si>
  <si>
    <t>Task 106</t>
  </si>
  <si>
    <t>Task 107</t>
  </si>
  <si>
    <t>Task 108</t>
  </si>
  <si>
    <t>Task 109</t>
  </si>
  <si>
    <t>Task 110</t>
  </si>
  <si>
    <t>Task 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</si>
</sst>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47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textRotation="45" wrapText="1"/>
    </xf>
    <xf numFmtId="0" fontId="1" fillId="0" borderId="1" xfId="0" applyFont="1" applyBorder="1" applyAlignment="1">
      <alignment horizontal="center" wrapText="1"/>
    </xf>
    <xf numFmtId="0" fontId="0" fillId="0" borderId="0" xfId="0" applyFill="1"/>
    <xf numFmtId="0" fontId="2" fillId="0" borderId="0" xfId="1"/>
    <xf numFmtId="0" fontId="1" fillId="0" borderId="0" xfId="0" applyFont="1"/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center"/>
    </xf>
    <xf numFmtId="14" fontId="0" fillId="0" borderId="0" xfId="0" applyNumberFormat="1"/>
    <xf numFmtId="1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49" fontId="1" fillId="0" borderId="0" xfId="0" applyNumberFormat="1" applyFont="1" applyFill="1" applyAlignment="1">
      <alignment horizontal="center"/>
    </xf>
    <xf numFmtId="0" fontId="1" fillId="0" borderId="0" xfId="0" applyFont="1" applyFill="1"/>
    <xf numFmtId="0" fontId="5" fillId="0" borderId="0" xfId="0" applyFont="1" applyFill="1"/>
    <xf numFmtId="14" fontId="6" fillId="0" borderId="0" xfId="0" applyNumberFormat="1" applyFont="1" applyFill="1"/>
    <xf numFmtId="9" fontId="0" fillId="0" borderId="0" xfId="2" applyFont="1" applyFill="1"/>
    <xf numFmtId="0" fontId="0" fillId="0" borderId="0" xfId="0" applyFont="1" applyFill="1"/>
    <xf numFmtId="14" fontId="0" fillId="0" borderId="0" xfId="0" applyNumberFormat="1" applyFont="1" applyFill="1"/>
    <xf numFmtId="0" fontId="3" fillId="0" borderId="0" xfId="0" applyFont="1" applyFill="1"/>
    <xf numFmtId="14" fontId="0" fillId="0" borderId="0" xfId="0" applyNumberFormat="1" applyFill="1"/>
    <xf numFmtId="0" fontId="0" fillId="0" borderId="0" xfId="0" applyFill="1" applyAlignment="1">
      <alignment horizontal="center" vertical="center" wrapText="1"/>
    </xf>
    <xf numFmtId="0" fontId="1" fillId="0" borderId="0" xfId="0" applyFont="1" applyFill="1" applyAlignment="1">
      <alignment horizontal="center" wrapText="1"/>
    </xf>
    <xf numFmtId="0" fontId="0" fillId="0" borderId="0" xfId="0" applyFont="1" applyFill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 wrapText="1"/>
    </xf>
    <xf numFmtId="0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 wrapText="1"/>
    </xf>
    <xf numFmtId="0" fontId="0" fillId="2" borderId="0" xfId="0" applyFont="1" applyFill="1"/>
    <xf numFmtId="14" fontId="0" fillId="2" borderId="0" xfId="0" applyNumberFormat="1" applyFont="1" applyFill="1"/>
    <xf numFmtId="14" fontId="6" fillId="2" borderId="0" xfId="0" applyNumberFormat="1" applyFont="1" applyFill="1"/>
    <xf numFmtId="9" fontId="0" fillId="2" borderId="0" xfId="2" applyFont="1" applyFill="1"/>
    <xf numFmtId="0" fontId="0" fillId="2" borderId="0" xfId="0" applyFill="1"/>
    <xf numFmtId="2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49" fontId="0" fillId="2" borderId="0" xfId="0" applyNumberFormat="1" applyFill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Alignment="1">
      <alignment wrapText="1"/>
    </xf>
    <xf numFmtId="14" fontId="8" fillId="0" borderId="0" xfId="0" applyNumberFormat="1" applyFont="1" applyFill="1"/>
    <xf numFmtId="14" fontId="0" fillId="2" borderId="0" xfId="0" applyNumberFormat="1" applyFill="1" applyAlignment="1">
      <alignment horizontal="center"/>
    </xf>
    <xf numFmtId="14" fontId="0" fillId="2" borderId="0" xfId="0" applyNumberFormat="1" applyFill="1"/>
    <xf numFmtId="0" fontId="0" fillId="2" borderId="0" xfId="0" applyFill="1" applyAlignment="1">
      <alignment horizontal="center" wrapText="1"/>
    </xf>
    <xf numFmtId="0" fontId="0" fillId="2" borderId="0" xfId="0" applyFont="1" applyFill="1" applyAlignment="1">
      <alignment horizontal="center" wrapText="1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0909"/>
      <color rgb="FF9C5BCD"/>
      <color rgb="FF8C3FC5"/>
      <color rgb="FFEAC734"/>
      <color rgb="FF5A08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Milestones</a:t>
            </a:r>
            <a:r>
              <a:rPr lang="en-US" sz="2400" baseline="0"/>
              <a:t> Timeline</a:t>
            </a:r>
            <a:endParaRPr lang="en-US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Milestones!$B$1</c:f>
              <c:strCache>
                <c:ptCount val="1"/>
                <c:pt idx="0">
                  <c:v>Start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Milestones!$A$2:$A$16</c:f>
              <c:strCache>
                <c:ptCount val="15"/>
                <c:pt idx="0">
                  <c:v>Milestones</c:v>
                </c:pt>
                <c:pt idx="1">
                  <c:v>Mission</c:v>
                </c:pt>
                <c:pt idx="2">
                  <c:v>Requirements</c:v>
                </c:pt>
                <c:pt idx="3">
                  <c:v>Electrical Schematics</c:v>
                </c:pt>
                <c:pt idx="4">
                  <c:v>Mechanical Design</c:v>
                </c:pt>
                <c:pt idx="5">
                  <c:v>PDR</c:v>
                </c:pt>
                <c:pt idx="6">
                  <c:v>VLM</c:v>
                </c:pt>
                <c:pt idx="7">
                  <c:v>Open Loop Simulink</c:v>
                </c:pt>
                <c:pt idx="8">
                  <c:v>Closed Loop Simulink</c:v>
                </c:pt>
                <c:pt idx="9">
                  <c:v>Testing Documents</c:v>
                </c:pt>
                <c:pt idx="10">
                  <c:v>Mechanical Build</c:v>
                </c:pt>
                <c:pt idx="11">
                  <c:v>Integrate Mech and Elec</c:v>
                </c:pt>
                <c:pt idx="12">
                  <c:v>Wind Tunnel Test</c:v>
                </c:pt>
                <c:pt idx="13">
                  <c:v>Results Prepare</c:v>
                </c:pt>
                <c:pt idx="14">
                  <c:v>Prepare Presentation 2</c:v>
                </c:pt>
              </c:strCache>
            </c:strRef>
          </c:cat>
          <c:val>
            <c:numRef>
              <c:f>Milestones!$B$2:$B$16</c:f>
              <c:numCache>
                <c:formatCode>m/d/yyyy</c:formatCode>
                <c:ptCount val="15"/>
                <c:pt idx="0">
                  <c:v>43749</c:v>
                </c:pt>
                <c:pt idx="1">
                  <c:v>43756</c:v>
                </c:pt>
                <c:pt idx="2">
                  <c:v>43756</c:v>
                </c:pt>
                <c:pt idx="3">
                  <c:v>43826</c:v>
                </c:pt>
                <c:pt idx="4">
                  <c:v>43770</c:v>
                </c:pt>
                <c:pt idx="5">
                  <c:v>43784</c:v>
                </c:pt>
                <c:pt idx="6">
                  <c:v>43805</c:v>
                </c:pt>
                <c:pt idx="7">
                  <c:v>43805</c:v>
                </c:pt>
                <c:pt idx="8">
                  <c:v>43840</c:v>
                </c:pt>
                <c:pt idx="9">
                  <c:v>43840</c:v>
                </c:pt>
                <c:pt idx="10">
                  <c:v>43833</c:v>
                </c:pt>
                <c:pt idx="11">
                  <c:v>43861</c:v>
                </c:pt>
                <c:pt idx="12">
                  <c:v>43868</c:v>
                </c:pt>
                <c:pt idx="13">
                  <c:v>43875</c:v>
                </c:pt>
                <c:pt idx="14">
                  <c:v>43931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15-4939-AF30-1EF2CB157FED}"/>
            </c:ext>
          </c:extLst>
        </c:ser>
        <c:ser>
          <c:idx val="1"/>
          <c:order val="1"/>
          <c:tx>
            <c:strRef>
              <c:f>Milestones!$I$1</c:f>
              <c:strCache>
                <c:ptCount val="1"/>
                <c:pt idx="0">
                  <c:v>Days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1AE-4B10-B92A-726C15C2D9ED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1AE-4B10-B92A-726C15C2D9ED}"/>
              </c:ext>
            </c:extLst>
          </c:dPt>
          <c:dPt>
            <c:idx val="3"/>
            <c:invertIfNegative val="0"/>
            <c:bubble3D val="0"/>
            <c:spPr>
              <a:solidFill>
                <a:srgbClr val="FF090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1AE-4B10-B92A-726C15C2D9ED}"/>
              </c:ext>
            </c:extLst>
          </c:dPt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C86-4D09-9757-BE0B0E2A1545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C13B-4C48-B8C5-D82FE77FBED8}"/>
              </c:ext>
            </c:extLst>
          </c:dPt>
          <c:dPt>
            <c:idx val="6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3B-4C48-B8C5-D82FE77FBED8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13B-4C48-B8C5-D82FE77FBED8}"/>
              </c:ext>
            </c:extLst>
          </c:dPt>
          <c:dPt>
            <c:idx val="1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3B-4C48-B8C5-D82FE77FBED8}"/>
              </c:ext>
            </c:extLst>
          </c:dPt>
          <c:dPt>
            <c:idx val="1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C13B-4C48-B8C5-D82FE77FBED8}"/>
              </c:ext>
            </c:extLst>
          </c:dPt>
          <c:dPt>
            <c:idx val="12"/>
            <c:invertIfNegative val="0"/>
            <c:bubble3D val="0"/>
            <c:spPr>
              <a:solidFill>
                <a:srgbClr val="9C5BC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3B-4C48-B8C5-D82FE77FBED8}"/>
              </c:ext>
            </c:extLst>
          </c:dPt>
          <c:dPt>
            <c:idx val="1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13B-4C48-B8C5-D82FE77FBED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700803A3-EBB1-4BB5-A8EC-D02C3A4638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1AE-4B10-B92A-726C15C2D9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3C2C1D-90C4-453D-880B-3E1FB29C02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1AE-4B10-B92A-726C15C2D9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CBCCC0-6E06-4BE4-AC58-5D52A81713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1AE-4B10-B92A-726C15C2D9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320E99F-F703-42A1-94D9-4D054F22A5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AE-4B10-B92A-726C15C2D9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3FD6BD-D150-4EA0-AA4F-6A603D8134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C86-4D09-9757-BE0B0E2A154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B973158-9855-4BED-8E9C-3DB015838B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3B-4C48-B8C5-D82FE77FBED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4450DD-04D7-41F2-9E56-570ECACD7A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3B-4C48-B8C5-D82FE77FBED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92C182-0B4E-4BEC-BF30-14CEB05DFD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3B-4C48-B8C5-D82FE77FBED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67117BA-3A13-41CD-97C8-AE862BC11C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3B-4C48-B8C5-D82FE77FBED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214C58-1912-4F65-924C-CBAAB957C6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3B-4C48-B8C5-D82FE77FBED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A4B50C-EC93-4BE0-9218-96C1A07568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3B-4C48-B8C5-D82FE77FBED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7275E7-F482-4995-B682-BA581DFA01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3B-4C48-B8C5-D82FE77FBED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B9A38D-44A2-4F51-B4DD-4138B35F27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3B-4C48-B8C5-D82FE77FBED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F0EAC71-45B9-4AA9-9B53-58652CC84D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3B-4C48-B8C5-D82FE77FBED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EECA12F-6D01-4CA0-83D9-2E5A624C8C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3B-4C48-B8C5-D82FE77FBED8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Milestones!$A$2:$A$16</c:f>
              <c:strCache>
                <c:ptCount val="15"/>
                <c:pt idx="0">
                  <c:v>Milestones</c:v>
                </c:pt>
                <c:pt idx="1">
                  <c:v>Mission</c:v>
                </c:pt>
                <c:pt idx="2">
                  <c:v>Requirements</c:v>
                </c:pt>
                <c:pt idx="3">
                  <c:v>Electrical Schematics</c:v>
                </c:pt>
                <c:pt idx="4">
                  <c:v>Mechanical Design</c:v>
                </c:pt>
                <c:pt idx="5">
                  <c:v>PDR</c:v>
                </c:pt>
                <c:pt idx="6">
                  <c:v>VLM</c:v>
                </c:pt>
                <c:pt idx="7">
                  <c:v>Open Loop Simulink</c:v>
                </c:pt>
                <c:pt idx="8">
                  <c:v>Closed Loop Simulink</c:v>
                </c:pt>
                <c:pt idx="9">
                  <c:v>Testing Documents</c:v>
                </c:pt>
                <c:pt idx="10">
                  <c:v>Mechanical Build</c:v>
                </c:pt>
                <c:pt idx="11">
                  <c:v>Integrate Mech and Elec</c:v>
                </c:pt>
                <c:pt idx="12">
                  <c:v>Wind Tunnel Test</c:v>
                </c:pt>
                <c:pt idx="13">
                  <c:v>Results Prepare</c:v>
                </c:pt>
                <c:pt idx="14">
                  <c:v>Prepare Presentation 2</c:v>
                </c:pt>
              </c:strCache>
            </c:strRef>
          </c:cat>
          <c:val>
            <c:numRef>
              <c:f>Milestones!$I$2:$I$16</c:f>
              <c:numCache>
                <c:formatCode>General</c:formatCode>
                <c:ptCount val="15"/>
                <c:pt idx="0">
                  <c:v>196</c:v>
                </c:pt>
                <c:pt idx="1">
                  <c:v>28</c:v>
                </c:pt>
                <c:pt idx="2">
                  <c:v>70</c:v>
                </c:pt>
                <c:pt idx="3">
                  <c:v>21</c:v>
                </c:pt>
                <c:pt idx="4">
                  <c:v>70</c:v>
                </c:pt>
                <c:pt idx="5">
                  <c:v>21</c:v>
                </c:pt>
                <c:pt idx="6">
                  <c:v>35</c:v>
                </c:pt>
                <c:pt idx="7">
                  <c:v>35</c:v>
                </c:pt>
                <c:pt idx="8">
                  <c:v>56</c:v>
                </c:pt>
                <c:pt idx="9">
                  <c:v>7</c:v>
                </c:pt>
                <c:pt idx="10">
                  <c:v>35</c:v>
                </c:pt>
                <c:pt idx="11">
                  <c:v>7</c:v>
                </c:pt>
                <c:pt idx="12">
                  <c:v>7</c:v>
                </c:pt>
                <c:pt idx="13">
                  <c:v>56</c:v>
                </c:pt>
                <c:pt idx="14">
                  <c:v>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Milestones!$G$2:$G$16</c15:f>
                <c15:dlblRangeCache>
                  <c:ptCount val="15"/>
                  <c:pt idx="1">
                    <c:v>100%</c:v>
                  </c:pt>
                  <c:pt idx="2">
                    <c:v>83%</c:v>
                  </c:pt>
                  <c:pt idx="3">
                    <c:v>2%</c:v>
                  </c:pt>
                  <c:pt idx="4">
                    <c:v>41%</c:v>
                  </c:pt>
                  <c:pt idx="5">
                    <c:v>100%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AE15-4939-AF30-1EF2CB157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7"/>
        <c:overlap val="100"/>
        <c:axId val="747870863"/>
        <c:axId val="1079712095"/>
      </c:barChart>
      <c:catAx>
        <c:axId val="74787086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712095"/>
        <c:crosses val="autoZero"/>
        <c:auto val="1"/>
        <c:lblAlgn val="ctr"/>
        <c:lblOffset val="100"/>
        <c:noMultiLvlLbl val="0"/>
      </c:catAx>
      <c:valAx>
        <c:axId val="1079712095"/>
        <c:scaling>
          <c:orientation val="minMax"/>
          <c:min val="43756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870863"/>
        <c:crosses val="autoZero"/>
        <c:crossBetween val="between"/>
        <c:majorUnit val="7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Milestones</a:t>
            </a:r>
            <a:r>
              <a:rPr lang="en-US" sz="2400" baseline="0"/>
              <a:t> Timeline</a:t>
            </a:r>
            <a:endParaRPr lang="en-US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Milestones!$B$1</c:f>
              <c:strCache>
                <c:ptCount val="1"/>
                <c:pt idx="0">
                  <c:v>Start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Milestones!$A$2:$A$16</c:f>
              <c:strCache>
                <c:ptCount val="15"/>
                <c:pt idx="0">
                  <c:v>Milestones</c:v>
                </c:pt>
                <c:pt idx="1">
                  <c:v>Mission</c:v>
                </c:pt>
                <c:pt idx="2">
                  <c:v>Requirements</c:v>
                </c:pt>
                <c:pt idx="3">
                  <c:v>Electrical Schematics</c:v>
                </c:pt>
                <c:pt idx="4">
                  <c:v>Mechanical Design</c:v>
                </c:pt>
                <c:pt idx="5">
                  <c:v>PDR</c:v>
                </c:pt>
                <c:pt idx="6">
                  <c:v>VLM</c:v>
                </c:pt>
                <c:pt idx="7">
                  <c:v>Open Loop Simulink</c:v>
                </c:pt>
                <c:pt idx="8">
                  <c:v>Closed Loop Simulink</c:v>
                </c:pt>
                <c:pt idx="9">
                  <c:v>Testing Documents</c:v>
                </c:pt>
                <c:pt idx="10">
                  <c:v>Mechanical Build</c:v>
                </c:pt>
                <c:pt idx="11">
                  <c:v>Integrate Mech and Elec</c:v>
                </c:pt>
                <c:pt idx="12">
                  <c:v>Wind Tunnel Test</c:v>
                </c:pt>
                <c:pt idx="13">
                  <c:v>Results Prepare</c:v>
                </c:pt>
                <c:pt idx="14">
                  <c:v>Prepare Presentation 2</c:v>
                </c:pt>
              </c:strCache>
            </c:strRef>
          </c:cat>
          <c:val>
            <c:numRef>
              <c:f>Milestones!$B$2:$B$16</c:f>
              <c:numCache>
                <c:formatCode>m/d/yyyy</c:formatCode>
                <c:ptCount val="15"/>
                <c:pt idx="0">
                  <c:v>43749</c:v>
                </c:pt>
                <c:pt idx="1">
                  <c:v>43756</c:v>
                </c:pt>
                <c:pt idx="2">
                  <c:v>43756</c:v>
                </c:pt>
                <c:pt idx="3">
                  <c:v>43826</c:v>
                </c:pt>
                <c:pt idx="4">
                  <c:v>43770</c:v>
                </c:pt>
                <c:pt idx="5">
                  <c:v>43784</c:v>
                </c:pt>
                <c:pt idx="6">
                  <c:v>43805</c:v>
                </c:pt>
                <c:pt idx="7">
                  <c:v>43805</c:v>
                </c:pt>
                <c:pt idx="8">
                  <c:v>43840</c:v>
                </c:pt>
                <c:pt idx="9">
                  <c:v>43840</c:v>
                </c:pt>
                <c:pt idx="10">
                  <c:v>43833</c:v>
                </c:pt>
                <c:pt idx="11">
                  <c:v>43861</c:v>
                </c:pt>
                <c:pt idx="12">
                  <c:v>43868</c:v>
                </c:pt>
                <c:pt idx="13">
                  <c:v>43875</c:v>
                </c:pt>
                <c:pt idx="14">
                  <c:v>43931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63-407F-B292-066DCD1F6645}"/>
            </c:ext>
          </c:extLst>
        </c:ser>
        <c:ser>
          <c:idx val="1"/>
          <c:order val="1"/>
          <c:tx>
            <c:strRef>
              <c:f>Milestones!$E$6</c:f>
              <c:strCache>
                <c:ptCount val="1"/>
                <c:pt idx="0">
                  <c:v>29.5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163-407F-B292-066DCD1F664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163-407F-B292-066DCD1F6645}"/>
              </c:ext>
            </c:extLst>
          </c:dPt>
          <c:dPt>
            <c:idx val="3"/>
            <c:invertIfNegative val="0"/>
            <c:bubble3D val="0"/>
            <c:spPr>
              <a:solidFill>
                <a:srgbClr val="FF090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163-407F-B292-066DCD1F6645}"/>
              </c:ext>
            </c:extLst>
          </c:dPt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163-407F-B292-066DCD1F6645}"/>
              </c:ext>
            </c:extLst>
          </c:dPt>
          <c:dPt>
            <c:idx val="5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0163-407F-B292-066DCD1F6645}"/>
              </c:ext>
            </c:extLst>
          </c:dPt>
          <c:dPt>
            <c:idx val="6"/>
            <c:invertIfNegative val="0"/>
            <c:bubble3D val="0"/>
            <c:spPr>
              <a:solidFill>
                <a:srgbClr val="9C5BC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0163-407F-B292-066DCD1F664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0163-407F-B292-066DCD1F6645}"/>
              </c:ext>
            </c:extLst>
          </c:dPt>
          <c:dPt>
            <c:idx val="8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163-407F-B292-066DCD1F6645}"/>
              </c:ext>
            </c:extLst>
          </c:dPt>
          <c:dPt>
            <c:idx val="9"/>
            <c:invertIfNegative val="0"/>
            <c:bubble3D val="0"/>
            <c:spPr>
              <a:solidFill>
                <a:srgbClr val="FF090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0163-407F-B292-066DCD1F6645}"/>
              </c:ext>
            </c:extLst>
          </c:dPt>
          <c:dPt>
            <c:idx val="1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0163-407F-B292-066DCD1F6645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0163-407F-B292-066DCD1F6645}"/>
              </c:ext>
            </c:extLst>
          </c:dPt>
          <c:dPt>
            <c:idx val="12"/>
            <c:invertIfNegative val="0"/>
            <c:bubble3D val="0"/>
            <c:spPr>
              <a:solidFill>
                <a:srgbClr val="9C5BC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0163-407F-B292-066DCD1F6645}"/>
              </c:ext>
            </c:extLst>
          </c:dPt>
          <c:dPt>
            <c:idx val="1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0163-407F-B292-066DCD1F664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5F758AE8-B055-4E80-9A42-58694E9A21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163-407F-B292-066DCD1F664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CB40D7-AEAD-4976-A394-7DE4256262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63-407F-B292-066DCD1F664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94EBAC-497B-420E-82C2-35B88928A9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63-407F-B292-066DCD1F664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D48921-BC09-47E0-B994-B8D5684C03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63-407F-B292-066DCD1F664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D0CDDE-A7C4-4E61-9A2E-E843668BCB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63-407F-B292-066DCD1F664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67A702F-B7B8-4017-A90F-60806FA304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63-407F-B292-066DCD1F664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64E87C-BB31-4CF3-9A9D-A150B6E912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63-407F-B292-066DCD1F664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0329865-8969-4637-9D5E-FF933C4B1E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63-407F-B292-066DCD1F664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B959C6C-97D0-467B-B8B8-78395636F8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63-407F-B292-066DCD1F664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362688-42A2-43F3-A822-3EC3F7F1CE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63-407F-B292-066DCD1F664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771FBB-6CD8-41B2-B540-B5F20C070D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63-407F-B292-066DCD1F664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509B185-5880-4BB6-AF4F-3004BBE56A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63-407F-B292-066DCD1F664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DCFC3FA-D041-47B3-A9FA-F5DE354E61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63-407F-B292-066DCD1F664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68C811-7162-4989-AD95-728A0648CA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63-407F-B292-066DCD1F664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408B1A2-D9CF-42CD-988B-8314CE058E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63-407F-B292-066DCD1F6645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Milestones!$A$2:$A$16</c:f>
              <c:strCache>
                <c:ptCount val="15"/>
                <c:pt idx="0">
                  <c:v>Milestones</c:v>
                </c:pt>
                <c:pt idx="1">
                  <c:v>Mission</c:v>
                </c:pt>
                <c:pt idx="2">
                  <c:v>Requirements</c:v>
                </c:pt>
                <c:pt idx="3">
                  <c:v>Electrical Schematics</c:v>
                </c:pt>
                <c:pt idx="4">
                  <c:v>Mechanical Design</c:v>
                </c:pt>
                <c:pt idx="5">
                  <c:v>PDR</c:v>
                </c:pt>
                <c:pt idx="6">
                  <c:v>VLM</c:v>
                </c:pt>
                <c:pt idx="7">
                  <c:v>Open Loop Simulink</c:v>
                </c:pt>
                <c:pt idx="8">
                  <c:v>Closed Loop Simulink</c:v>
                </c:pt>
                <c:pt idx="9">
                  <c:v>Testing Documents</c:v>
                </c:pt>
                <c:pt idx="10">
                  <c:v>Mechanical Build</c:v>
                </c:pt>
                <c:pt idx="11">
                  <c:v>Integrate Mech and Elec</c:v>
                </c:pt>
                <c:pt idx="12">
                  <c:v>Wind Tunnel Test</c:v>
                </c:pt>
                <c:pt idx="13">
                  <c:v>Results Prepare</c:v>
                </c:pt>
                <c:pt idx="14">
                  <c:v>Prepare Presentation 2</c:v>
                </c:pt>
              </c:strCache>
            </c:strRef>
          </c:cat>
          <c:val>
            <c:numRef>
              <c:f>Milestones!$I$2:$I$16</c:f>
              <c:numCache>
                <c:formatCode>General</c:formatCode>
                <c:ptCount val="15"/>
                <c:pt idx="0">
                  <c:v>196</c:v>
                </c:pt>
                <c:pt idx="1">
                  <c:v>28</c:v>
                </c:pt>
                <c:pt idx="2">
                  <c:v>70</c:v>
                </c:pt>
                <c:pt idx="3">
                  <c:v>21</c:v>
                </c:pt>
                <c:pt idx="4">
                  <c:v>70</c:v>
                </c:pt>
                <c:pt idx="5">
                  <c:v>21</c:v>
                </c:pt>
                <c:pt idx="6">
                  <c:v>35</c:v>
                </c:pt>
                <c:pt idx="7">
                  <c:v>35</c:v>
                </c:pt>
                <c:pt idx="8">
                  <c:v>56</c:v>
                </c:pt>
                <c:pt idx="9">
                  <c:v>7</c:v>
                </c:pt>
                <c:pt idx="10">
                  <c:v>35</c:v>
                </c:pt>
                <c:pt idx="11">
                  <c:v>7</c:v>
                </c:pt>
                <c:pt idx="12">
                  <c:v>7</c:v>
                </c:pt>
                <c:pt idx="13">
                  <c:v>56</c:v>
                </c:pt>
                <c:pt idx="14">
                  <c:v>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Milestones!$G$2:$G$16</c15:f>
                <c15:dlblRangeCache>
                  <c:ptCount val="15"/>
                  <c:pt idx="1">
                    <c:v>100%</c:v>
                  </c:pt>
                  <c:pt idx="2">
                    <c:v>83%</c:v>
                  </c:pt>
                  <c:pt idx="3">
                    <c:v>2%</c:v>
                  </c:pt>
                  <c:pt idx="4">
                    <c:v>41%</c:v>
                  </c:pt>
                  <c:pt idx="5">
                    <c:v>100%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8-0163-407F-B292-066DCD1F6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7"/>
        <c:overlap val="100"/>
        <c:axId val="747870863"/>
        <c:axId val="1079712095"/>
      </c:barChart>
      <c:catAx>
        <c:axId val="74787086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712095"/>
        <c:crosses val="autoZero"/>
        <c:auto val="1"/>
        <c:lblAlgn val="ctr"/>
        <c:lblOffset val="100"/>
        <c:noMultiLvlLbl val="0"/>
      </c:catAx>
      <c:valAx>
        <c:axId val="1079712095"/>
        <c:scaling>
          <c:orientation val="minMax"/>
          <c:min val="43756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870863"/>
        <c:crosses val="autoZero"/>
        <c:crossBetween val="between"/>
        <c:majorUnit val="14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56</xdr:row>
          <xdr:rowOff>26670</xdr:rowOff>
        </xdr:from>
        <xdr:to>
          <xdr:col>2</xdr:col>
          <xdr:colOff>609600</xdr:colOff>
          <xdr:row>59</xdr:row>
          <xdr:rowOff>76200</xdr:rowOff>
        </xdr:to>
        <xdr:sp macro="" textlink="">
          <xdr:nvSpPr>
            <xdr:cNvPr id="1025" name="Button 1" descr="Update She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9696</xdr:colOff>
      <xdr:row>0</xdr:row>
      <xdr:rowOff>9194</xdr:rowOff>
    </xdr:from>
    <xdr:to>
      <xdr:col>39</xdr:col>
      <xdr:colOff>559594</xdr:colOff>
      <xdr:row>55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277168</xdr:colOff>
      <xdr:row>4</xdr:row>
      <xdr:rowOff>71532</xdr:rowOff>
    </xdr:from>
    <xdr:to>
      <xdr:col>7</xdr:col>
      <xdr:colOff>638612</xdr:colOff>
      <xdr:row>7</xdr:row>
      <xdr:rowOff>33151</xdr:rowOff>
    </xdr:to>
    <xdr:sp macro="" textlink="">
      <xdr:nvSpPr>
        <xdr:cNvPr id="3" name="Flowchart: Decisio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5400000">
          <a:off x="4983596" y="853885"/>
          <a:ext cx="497400" cy="361444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511961</xdr:colOff>
      <xdr:row>4</xdr:row>
      <xdr:rowOff>85820</xdr:rowOff>
    </xdr:from>
    <xdr:to>
      <xdr:col>19</xdr:col>
      <xdr:colOff>219991</xdr:colOff>
      <xdr:row>7</xdr:row>
      <xdr:rowOff>47439</xdr:rowOff>
    </xdr:to>
    <xdr:sp macro="" textlink="">
      <xdr:nvSpPr>
        <xdr:cNvPr id="5" name="Flowchart: Decisio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5400000">
          <a:off x="12285464" y="873411"/>
          <a:ext cx="497400" cy="350967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178585</xdr:colOff>
      <xdr:row>4</xdr:row>
      <xdr:rowOff>70105</xdr:rowOff>
    </xdr:from>
    <xdr:to>
      <xdr:col>16</xdr:col>
      <xdr:colOff>541935</xdr:colOff>
      <xdr:row>7</xdr:row>
      <xdr:rowOff>31724</xdr:rowOff>
    </xdr:to>
    <xdr:sp macro="" textlink="">
      <xdr:nvSpPr>
        <xdr:cNvPr id="6" name="Flowchart: Decisio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10672404" y="851505"/>
          <a:ext cx="497400" cy="363350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346228</xdr:colOff>
      <xdr:row>4</xdr:row>
      <xdr:rowOff>112491</xdr:rowOff>
    </xdr:from>
    <xdr:to>
      <xdr:col>23</xdr:col>
      <xdr:colOff>68546</xdr:colOff>
      <xdr:row>7</xdr:row>
      <xdr:rowOff>74110</xdr:rowOff>
    </xdr:to>
    <xdr:sp macro="" textlink="">
      <xdr:nvSpPr>
        <xdr:cNvPr id="7" name="Flowchart: Decisio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14698625" y="892938"/>
          <a:ext cx="497400" cy="365255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551497</xdr:colOff>
      <xdr:row>4</xdr:row>
      <xdr:rowOff>117157</xdr:rowOff>
    </xdr:from>
    <xdr:to>
      <xdr:col>9</xdr:col>
      <xdr:colOff>589597</xdr:colOff>
      <xdr:row>7</xdr:row>
      <xdr:rowOff>172402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325903" y="831532"/>
          <a:ext cx="1323975" cy="591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Preliminary Design Brief</a:t>
          </a:r>
        </a:p>
      </xdr:txBody>
    </xdr:sp>
    <xdr:clientData/>
  </xdr:twoCellAnchor>
  <xdr:twoCellAnchor>
    <xdr:from>
      <xdr:col>16</xdr:col>
      <xdr:colOff>267653</xdr:colOff>
      <xdr:row>5</xdr:row>
      <xdr:rowOff>3334</xdr:rowOff>
    </xdr:from>
    <xdr:to>
      <xdr:col>18</xdr:col>
      <xdr:colOff>294323</xdr:colOff>
      <xdr:row>8</xdr:row>
      <xdr:rowOff>58579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828497" y="896303"/>
          <a:ext cx="1312545" cy="591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Order Parts</a:t>
          </a:r>
        </a:p>
      </xdr:txBody>
    </xdr:sp>
    <xdr:clientData/>
  </xdr:twoCellAnchor>
  <xdr:twoCellAnchor>
    <xdr:from>
      <xdr:col>18</xdr:col>
      <xdr:colOff>539589</xdr:colOff>
      <xdr:row>5</xdr:row>
      <xdr:rowOff>49053</xdr:rowOff>
    </xdr:from>
    <xdr:to>
      <xdr:col>20</xdr:col>
      <xdr:colOff>558639</xdr:colOff>
      <xdr:row>8</xdr:row>
      <xdr:rowOff>103822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2386308" y="942022"/>
          <a:ext cx="1304925" cy="590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Start Build</a:t>
          </a:r>
        </a:p>
      </xdr:txBody>
    </xdr:sp>
    <xdr:clientData/>
  </xdr:twoCellAnchor>
  <xdr:twoCellAnchor>
    <xdr:from>
      <xdr:col>37</xdr:col>
      <xdr:colOff>573405</xdr:colOff>
      <xdr:row>5</xdr:row>
      <xdr:rowOff>10477</xdr:rowOff>
    </xdr:from>
    <xdr:to>
      <xdr:col>39</xdr:col>
      <xdr:colOff>594360</xdr:colOff>
      <xdr:row>8</xdr:row>
      <xdr:rowOff>67627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4635936" y="903446"/>
          <a:ext cx="1306830" cy="5929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End</a:t>
          </a:r>
          <a:r>
            <a:rPr lang="en-US" sz="1100" baseline="0">
              <a:solidFill>
                <a:sysClr val="windowText" lastClr="000000"/>
              </a:solidFill>
            </a:rPr>
            <a:t> of Senior Design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27</xdr:col>
      <xdr:colOff>352420</xdr:colOff>
      <xdr:row>4</xdr:row>
      <xdr:rowOff>76773</xdr:rowOff>
    </xdr:from>
    <xdr:to>
      <xdr:col>28</xdr:col>
      <xdr:colOff>82357</xdr:colOff>
      <xdr:row>7</xdr:row>
      <xdr:rowOff>47917</xdr:rowOff>
    </xdr:to>
    <xdr:sp macro="" textlink="">
      <xdr:nvSpPr>
        <xdr:cNvPr id="13" name="Flowchart: Decisio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rot="5400000">
          <a:off x="17918551" y="858173"/>
          <a:ext cx="506925" cy="372875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80481</xdr:colOff>
      <xdr:row>4</xdr:row>
      <xdr:rowOff>100586</xdr:rowOff>
    </xdr:from>
    <xdr:to>
      <xdr:col>35</xdr:col>
      <xdr:colOff>449546</xdr:colOff>
      <xdr:row>7</xdr:row>
      <xdr:rowOff>75540</xdr:rowOff>
    </xdr:to>
    <xdr:sp macro="" textlink="">
      <xdr:nvSpPr>
        <xdr:cNvPr id="14" name="Flowchart: Decision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rot="5400000">
          <a:off x="22786302" y="885796"/>
          <a:ext cx="510735" cy="369065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410048</xdr:colOff>
      <xdr:row>4</xdr:row>
      <xdr:rowOff>61057</xdr:rowOff>
    </xdr:from>
    <xdr:to>
      <xdr:col>38</xdr:col>
      <xdr:colOff>138080</xdr:colOff>
      <xdr:row>7</xdr:row>
      <xdr:rowOff>39821</xdr:rowOff>
    </xdr:to>
    <xdr:sp macro="" textlink="">
      <xdr:nvSpPr>
        <xdr:cNvPr id="15" name="Flowchart: Decision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5400000">
          <a:off x="24400791" y="847220"/>
          <a:ext cx="514545" cy="370970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602930</xdr:colOff>
      <xdr:row>4</xdr:row>
      <xdr:rowOff>166211</xdr:rowOff>
    </xdr:from>
    <xdr:to>
      <xdr:col>24</xdr:col>
      <xdr:colOff>621980</xdr:colOff>
      <xdr:row>8</xdr:row>
      <xdr:rowOff>42386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5021399" y="880586"/>
          <a:ext cx="1304925" cy="590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Build Complete</a:t>
          </a:r>
        </a:p>
        <a:p>
          <a:pPr algn="ctr"/>
          <a:r>
            <a:rPr lang="en-US" sz="1100">
              <a:solidFill>
                <a:sysClr val="windowText" lastClr="000000"/>
              </a:solidFill>
            </a:rPr>
            <a:t>Start</a:t>
          </a:r>
          <a:r>
            <a:rPr lang="en-US" sz="1100" baseline="0">
              <a:solidFill>
                <a:sysClr val="windowText" lastClr="000000"/>
              </a:solidFill>
            </a:rPr>
            <a:t> Bench Testing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27</xdr:col>
      <xdr:colOff>509585</xdr:colOff>
      <xdr:row>4</xdr:row>
      <xdr:rowOff>142397</xdr:rowOff>
    </xdr:from>
    <xdr:to>
      <xdr:col>29</xdr:col>
      <xdr:colOff>528635</xdr:colOff>
      <xdr:row>8</xdr:row>
      <xdr:rowOff>18572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8142741" y="856772"/>
          <a:ext cx="1304925" cy="590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Bench Testing Complete</a:t>
          </a:r>
        </a:p>
      </xdr:txBody>
    </xdr:sp>
    <xdr:clientData/>
  </xdr:twoCellAnchor>
  <xdr:twoCellAnchor>
    <xdr:from>
      <xdr:col>35</xdr:col>
      <xdr:colOff>386713</xdr:colOff>
      <xdr:row>5</xdr:row>
      <xdr:rowOff>49052</xdr:rowOff>
    </xdr:from>
    <xdr:to>
      <xdr:col>37</xdr:col>
      <xdr:colOff>405763</xdr:colOff>
      <xdr:row>8</xdr:row>
      <xdr:rowOff>96201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23163369" y="942021"/>
          <a:ext cx="1304925" cy="5829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Final Presentation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9697</xdr:colOff>
      <xdr:row>0</xdr:row>
      <xdr:rowOff>9194</xdr:rowOff>
    </xdr:from>
    <xdr:to>
      <xdr:col>24</xdr:col>
      <xdr:colOff>76200</xdr:colOff>
      <xdr:row>52</xdr:row>
      <xdr:rowOff>77611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455682</xdr:colOff>
      <xdr:row>10</xdr:row>
      <xdr:rowOff>132011</xdr:rowOff>
    </xdr:from>
    <xdr:to>
      <xdr:col>11</xdr:col>
      <xdr:colOff>162654</xdr:colOff>
      <xdr:row>13</xdr:row>
      <xdr:rowOff>93629</xdr:rowOff>
    </xdr:to>
    <xdr:sp macro="" textlink="">
      <xdr:nvSpPr>
        <xdr:cNvPr id="5" name="Flowchart: Decision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5400000">
          <a:off x="7074300" y="1999981"/>
          <a:ext cx="499501" cy="349443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442370</xdr:colOff>
      <xdr:row>4</xdr:row>
      <xdr:rowOff>121965</xdr:rowOff>
    </xdr:from>
    <xdr:to>
      <xdr:col>11</xdr:col>
      <xdr:colOff>167545</xdr:colOff>
      <xdr:row>7</xdr:row>
      <xdr:rowOff>83584</xdr:rowOff>
    </xdr:to>
    <xdr:sp macro="" textlink="">
      <xdr:nvSpPr>
        <xdr:cNvPr id="6" name="Flowchart: Decision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 rot="5400000">
          <a:off x="7070089" y="905069"/>
          <a:ext cx="499502" cy="367646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297046</xdr:colOff>
      <xdr:row>4</xdr:row>
      <xdr:rowOff>134781</xdr:rowOff>
    </xdr:from>
    <xdr:to>
      <xdr:col>14</xdr:col>
      <xdr:colOff>16127</xdr:colOff>
      <xdr:row>7</xdr:row>
      <xdr:rowOff>96400</xdr:rowOff>
    </xdr:to>
    <xdr:sp macro="" textlink="">
      <xdr:nvSpPr>
        <xdr:cNvPr id="7" name="Flowchart: Decision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5400000">
          <a:off x="8849130" y="920932"/>
          <a:ext cx="499502" cy="361551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398160</xdr:colOff>
      <xdr:row>5</xdr:row>
      <xdr:rowOff>38840</xdr:rowOff>
    </xdr:from>
    <xdr:to>
      <xdr:col>9</xdr:col>
      <xdr:colOff>171571</xdr:colOff>
      <xdr:row>8</xdr:row>
      <xdr:rowOff>94085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5164395" y="935311"/>
          <a:ext cx="1058352" cy="5931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Preliminary Design Review</a:t>
          </a:r>
        </a:p>
      </xdr:txBody>
    </xdr:sp>
    <xdr:clientData/>
  </xdr:twoCellAnchor>
  <xdr:twoCellAnchor>
    <xdr:from>
      <xdr:col>11</xdr:col>
      <xdr:colOff>121051</xdr:colOff>
      <xdr:row>4</xdr:row>
      <xdr:rowOff>151314</xdr:rowOff>
    </xdr:from>
    <xdr:to>
      <xdr:col>12</xdr:col>
      <xdr:colOff>253449</xdr:colOff>
      <xdr:row>8</xdr:row>
      <xdr:rowOff>24525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7457169" y="868490"/>
          <a:ext cx="774868" cy="5903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VLM </a:t>
          </a:r>
          <a:r>
            <a:rPr lang="en-US" sz="1100" baseline="0">
              <a:solidFill>
                <a:sysClr val="windowText" lastClr="000000"/>
              </a:solidFill>
            </a:rPr>
            <a:t>Complete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615354</xdr:colOff>
      <xdr:row>11</xdr:row>
      <xdr:rowOff>6347</xdr:rowOff>
    </xdr:from>
    <xdr:to>
      <xdr:col>12</xdr:col>
      <xdr:colOff>448236</xdr:colOff>
      <xdr:row>14</xdr:row>
      <xdr:rowOff>61115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7309001" y="1978582"/>
          <a:ext cx="1117823" cy="592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Simlink</a:t>
          </a:r>
          <a:r>
            <a:rPr lang="en-US" sz="1100" baseline="0">
              <a:solidFill>
                <a:sysClr val="windowText" lastClr="000000"/>
              </a:solidFill>
            </a:rPr>
            <a:t> Environment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155614</xdr:colOff>
      <xdr:row>5</xdr:row>
      <xdr:rowOff>48577</xdr:rowOff>
    </xdr:from>
    <xdr:to>
      <xdr:col>24</xdr:col>
      <xdr:colOff>176569</xdr:colOff>
      <xdr:row>8</xdr:row>
      <xdr:rowOff>105727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14558908" y="945048"/>
          <a:ext cx="1305896" cy="5950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End</a:t>
          </a:r>
          <a:r>
            <a:rPr lang="en-US" sz="1100" baseline="0">
              <a:solidFill>
                <a:sysClr val="windowText" lastClr="000000"/>
              </a:solidFill>
            </a:rPr>
            <a:t> of Senior Design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219247</xdr:colOff>
      <xdr:row>5</xdr:row>
      <xdr:rowOff>32042</xdr:rowOff>
    </xdr:from>
    <xdr:to>
      <xdr:col>20</xdr:col>
      <xdr:colOff>588312</xdr:colOff>
      <xdr:row>8</xdr:row>
      <xdr:rowOff>6997</xdr:rowOff>
    </xdr:to>
    <xdr:sp macro="" textlink="">
      <xdr:nvSpPr>
        <xdr:cNvPr id="13" name="Flowchart: Decision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 rot="5400000">
          <a:off x="13265714" y="1000399"/>
          <a:ext cx="512837" cy="369065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19523</xdr:colOff>
      <xdr:row>4</xdr:row>
      <xdr:rowOff>137257</xdr:rowOff>
    </xdr:from>
    <xdr:to>
      <xdr:col>22</xdr:col>
      <xdr:colOff>385730</xdr:colOff>
      <xdr:row>7</xdr:row>
      <xdr:rowOff>116021</xdr:rowOff>
    </xdr:to>
    <xdr:sp macro="" textlink="">
      <xdr:nvSpPr>
        <xdr:cNvPr id="14" name="Flowchart: Decision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14257857" y="938898"/>
          <a:ext cx="521689" cy="366207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603552</xdr:colOff>
      <xdr:row>4</xdr:row>
      <xdr:rowOff>107442</xdr:rowOff>
    </xdr:from>
    <xdr:to>
      <xdr:col>15</xdr:col>
      <xdr:colOff>257736</xdr:colOff>
      <xdr:row>8</xdr:row>
      <xdr:rowOff>67235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9224611" y="824618"/>
          <a:ext cx="939125" cy="6769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Build and Integration Complete</a:t>
          </a:r>
        </a:p>
      </xdr:txBody>
    </xdr:sp>
    <xdr:clientData/>
  </xdr:twoCellAnchor>
  <xdr:twoCellAnchor>
    <xdr:from>
      <xdr:col>20</xdr:col>
      <xdr:colOff>500268</xdr:colOff>
      <xdr:row>5</xdr:row>
      <xdr:rowOff>20477</xdr:rowOff>
    </xdr:from>
    <xdr:to>
      <xdr:col>22</xdr:col>
      <xdr:colOff>170705</xdr:colOff>
      <xdr:row>8</xdr:row>
      <xdr:rowOff>67626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/>
      </xdr:nvSpPr>
      <xdr:spPr>
        <a:xfrm>
          <a:off x="13618621" y="916948"/>
          <a:ext cx="955378" cy="5850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Final Presentation</a:t>
          </a:r>
        </a:p>
      </xdr:txBody>
    </xdr:sp>
    <xdr:clientData/>
  </xdr:twoCellAnchor>
  <xdr:twoCellAnchor>
    <xdr:from>
      <xdr:col>7</xdr:col>
      <xdr:colOff>349040</xdr:colOff>
      <xdr:row>4</xdr:row>
      <xdr:rowOff>91719</xdr:rowOff>
    </xdr:from>
    <xdr:to>
      <xdr:col>7</xdr:col>
      <xdr:colOff>349040</xdr:colOff>
      <xdr:row>52</xdr:row>
      <xdr:rowOff>91722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CxnSpPr/>
      </xdr:nvCxnSpPr>
      <xdr:spPr>
        <a:xfrm>
          <a:off x="5115275" y="808895"/>
          <a:ext cx="0" cy="8606121"/>
        </a:xfrm>
        <a:prstGeom prst="line">
          <a:avLst/>
        </a:prstGeom>
        <a:ln w="38100">
          <a:solidFill>
            <a:srgbClr val="5A0823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443360</xdr:colOff>
      <xdr:row>7</xdr:row>
      <xdr:rowOff>125693</xdr:rowOff>
    </xdr:from>
    <xdr:to>
      <xdr:col>11</xdr:col>
      <xdr:colOff>168535</xdr:colOff>
      <xdr:row>10</xdr:row>
      <xdr:rowOff>87312</xdr:rowOff>
    </xdr:to>
    <xdr:sp macro="" textlink="">
      <xdr:nvSpPr>
        <xdr:cNvPr id="19" name="Flowchart: Decision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5400000">
          <a:off x="7071079" y="1446680"/>
          <a:ext cx="499501" cy="367646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69745</xdr:colOff>
      <xdr:row>7</xdr:row>
      <xdr:rowOff>106984</xdr:rowOff>
    </xdr:from>
    <xdr:to>
      <xdr:col>12</xdr:col>
      <xdr:colOff>343647</xdr:colOff>
      <xdr:row>11</xdr:row>
      <xdr:rowOff>59761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/>
      </xdr:nvSpPr>
      <xdr:spPr>
        <a:xfrm>
          <a:off x="7405863" y="1362043"/>
          <a:ext cx="916372" cy="6699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Mechanical</a:t>
          </a:r>
          <a:r>
            <a:rPr lang="en-US" sz="1100" baseline="0">
              <a:solidFill>
                <a:sysClr val="windowText" lastClr="000000"/>
              </a:solidFill>
            </a:rPr>
            <a:t> Design</a:t>
          </a:r>
        </a:p>
        <a:p>
          <a:pPr algn="ctr"/>
          <a:r>
            <a:rPr lang="en-US" sz="1100" baseline="0">
              <a:solidFill>
                <a:sysClr val="windowText" lastClr="000000"/>
              </a:solidFill>
            </a:rPr>
            <a:t>Complete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105144</xdr:colOff>
      <xdr:row>8</xdr:row>
      <xdr:rowOff>26595</xdr:rowOff>
    </xdr:from>
    <xdr:to>
      <xdr:col>14</xdr:col>
      <xdr:colOff>476493</xdr:colOff>
      <xdr:row>10</xdr:row>
      <xdr:rowOff>177033</xdr:rowOff>
    </xdr:to>
    <xdr:sp macro="" textlink="">
      <xdr:nvSpPr>
        <xdr:cNvPr id="27" name="Flowchart: Decision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5400000">
          <a:off x="9299835" y="1529786"/>
          <a:ext cx="509026" cy="371349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412595</xdr:colOff>
      <xdr:row>8</xdr:row>
      <xdr:rowOff>77281</xdr:rowOff>
    </xdr:from>
    <xdr:to>
      <xdr:col>16</xdr:col>
      <xdr:colOff>44825</xdr:colOff>
      <xdr:row>11</xdr:row>
      <xdr:rowOff>131692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/>
      </xdr:nvSpPr>
      <xdr:spPr>
        <a:xfrm>
          <a:off x="9676124" y="1511634"/>
          <a:ext cx="917172" cy="5922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Wind</a:t>
          </a:r>
          <a:r>
            <a:rPr lang="en-US" sz="1100" baseline="0">
              <a:solidFill>
                <a:sysClr val="windowText" lastClr="000000"/>
              </a:solidFill>
            </a:rPr>
            <a:t> Tunnel Testing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169588</xdr:colOff>
      <xdr:row>4</xdr:row>
      <xdr:rowOff>153148</xdr:rowOff>
    </xdr:from>
    <xdr:to>
      <xdr:col>7</xdr:col>
      <xdr:colOff>531032</xdr:colOff>
      <xdr:row>7</xdr:row>
      <xdr:rowOff>114767</xdr:rowOff>
    </xdr:to>
    <xdr:sp macro="" textlink="">
      <xdr:nvSpPr>
        <xdr:cNvPr id="4" name="Flowchart: Decision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 rot="5400000">
          <a:off x="4866794" y="939353"/>
          <a:ext cx="499502" cy="361444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127556</xdr:colOff>
      <xdr:row>8</xdr:row>
      <xdr:rowOff>78893</xdr:rowOff>
    </xdr:from>
    <xdr:to>
      <xdr:col>16</xdr:col>
      <xdr:colOff>498905</xdr:colOff>
      <xdr:row>11</xdr:row>
      <xdr:rowOff>50037</xdr:rowOff>
    </xdr:to>
    <xdr:sp macro="" textlink="">
      <xdr:nvSpPr>
        <xdr:cNvPr id="21" name="Flowchart: Decision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5400000">
          <a:off x="10607189" y="1582084"/>
          <a:ext cx="509026" cy="371349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382711</xdr:colOff>
      <xdr:row>8</xdr:row>
      <xdr:rowOff>17515</xdr:rowOff>
    </xdr:from>
    <xdr:to>
      <xdr:col>18</xdr:col>
      <xdr:colOff>14942</xdr:colOff>
      <xdr:row>11</xdr:row>
      <xdr:rowOff>134469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10931182" y="1451868"/>
          <a:ext cx="917172" cy="6548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Closed Loop Control</a:t>
          </a:r>
          <a:r>
            <a:rPr lang="en-US" sz="1100" baseline="0">
              <a:solidFill>
                <a:sysClr val="windowText" lastClr="000000"/>
              </a:solidFill>
            </a:rPr>
            <a:t> Integration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EF241-A6D4-4238-B77F-DF330FC5DBF2}">
  <sheetPr codeName="Sheet1">
    <pageSetUpPr fitToPage="1"/>
  </sheetPr>
  <dimension ref="A8:B23"/>
  <sheetViews>
    <sheetView zoomScale="50" zoomScaleNormal="50" workbookViewId="0">
      <selection activeCell="D57" sqref="D57"/>
    </sheetView>
  </sheetViews>
  <sheetFormatPr defaultRowHeight="14.4" x14ac:dyDescent="0.55000000000000004"/>
  <cols>
    <col min="1" max="1" width="12.62890625" customWidth="1"/>
  </cols>
  <sheetData>
    <row r="8" spans="2:2" x14ac:dyDescent="0.55000000000000004">
      <c r="B8" s="6"/>
    </row>
    <row r="23" spans="1:1" x14ac:dyDescent="0.55000000000000004">
      <c r="A23" s="6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_Work_Load" altText="Update Sheet">
                <anchor moveWithCells="1" sizeWithCells="1">
                  <from>
                    <xdr:col>0</xdr:col>
                    <xdr:colOff>400050</xdr:colOff>
                    <xdr:row>56</xdr:row>
                    <xdr:rowOff>26670</xdr:rowOff>
                  </from>
                  <to>
                    <xdr:col>2</xdr:col>
                    <xdr:colOff>609600</xdr:colOff>
                    <xdr:row>59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AA40-F920-42EC-B6FB-9E2F79D316CA}">
  <sheetPr codeName="Sheet2">
    <pageSetUpPr fitToPage="1"/>
  </sheetPr>
  <dimension ref="A1:G14"/>
  <sheetViews>
    <sheetView workbookViewId="0">
      <selection activeCell="D18" sqref="D18"/>
    </sheetView>
  </sheetViews>
  <sheetFormatPr defaultRowHeight="14.4" x14ac:dyDescent="0.55000000000000004"/>
  <cols>
    <col min="1" max="1" width="15.15625" bestFit="1" customWidth="1"/>
    <col min="2" max="2" width="4.68359375" bestFit="1" customWidth="1"/>
    <col min="3" max="3" width="6.7890625" customWidth="1"/>
    <col min="4" max="4" width="4.26171875" customWidth="1"/>
    <col min="5" max="5" width="4.68359375" bestFit="1" customWidth="1"/>
    <col min="6" max="6" width="4.26171875" bestFit="1" customWidth="1"/>
    <col min="7" max="7" width="4.26171875" customWidth="1"/>
  </cols>
  <sheetData>
    <row r="1" spans="1:7" s="3" customFormat="1" ht="67.8" customHeight="1" x14ac:dyDescent="0.55000000000000004">
      <c r="A1" s="2" t="s">
        <v>0</v>
      </c>
      <c r="B1" s="2">
        <v>1</v>
      </c>
      <c r="C1" s="4" t="s">
        <v>1</v>
      </c>
      <c r="D1" s="3" t="s">
        <v>2</v>
      </c>
      <c r="E1" s="3" t="s">
        <v>14</v>
      </c>
      <c r="F1" s="3" t="s">
        <v>31</v>
      </c>
      <c r="G1" s="3" t="s">
        <v>32</v>
      </c>
    </row>
    <row r="2" spans="1:7" s="5" customFormat="1" x14ac:dyDescent="0.55000000000000004">
      <c r="A2" s="22" t="s">
        <v>50</v>
      </c>
      <c r="B2" s="5">
        <v>1.1499999999999999</v>
      </c>
      <c r="C2" s="5">
        <v>1.1499999999999999</v>
      </c>
      <c r="D2" s="5">
        <v>0</v>
      </c>
      <c r="E2" s="5">
        <v>1.1499999999999999</v>
      </c>
      <c r="F2" s="5">
        <v>0</v>
      </c>
      <c r="G2" s="5">
        <v>0</v>
      </c>
    </row>
    <row r="3" spans="1:7" s="5" customFormat="1" x14ac:dyDescent="0.55000000000000004">
      <c r="A3" s="5" t="s">
        <v>43</v>
      </c>
      <c r="B3" s="5">
        <v>1</v>
      </c>
      <c r="C3" s="5">
        <v>0.1</v>
      </c>
      <c r="D3" s="5">
        <v>0</v>
      </c>
      <c r="E3" s="5">
        <v>0.1</v>
      </c>
      <c r="F3" s="5">
        <v>0</v>
      </c>
      <c r="G3" s="5">
        <v>0</v>
      </c>
    </row>
    <row r="4" spans="1:7" s="5" customFormat="1" x14ac:dyDescent="0.55000000000000004">
      <c r="A4" s="5" t="s">
        <v>91</v>
      </c>
      <c r="B4" s="5">
        <v>1</v>
      </c>
      <c r="C4" s="5">
        <v>0.25</v>
      </c>
      <c r="D4" s="5">
        <v>0</v>
      </c>
      <c r="E4" s="5">
        <v>0.25</v>
      </c>
      <c r="F4" s="5">
        <v>0</v>
      </c>
      <c r="G4" s="5">
        <v>0</v>
      </c>
    </row>
    <row r="5" spans="1:7" s="5" customFormat="1" x14ac:dyDescent="0.55000000000000004">
      <c r="A5" s="5" t="s">
        <v>92</v>
      </c>
      <c r="B5" s="5">
        <v>1</v>
      </c>
      <c r="C5" s="5">
        <v>0.1</v>
      </c>
      <c r="D5" s="5">
        <v>0</v>
      </c>
      <c r="E5" s="5">
        <v>0.1</v>
      </c>
      <c r="F5" s="5">
        <v>0</v>
      </c>
      <c r="G5" s="5">
        <v>0</v>
      </c>
    </row>
    <row r="6" spans="1:7" s="5" customFormat="1" x14ac:dyDescent="0.55000000000000004">
      <c r="A6" s="5" t="s">
        <v>45</v>
      </c>
      <c r="B6" s="5">
        <v>1</v>
      </c>
      <c r="C6" s="5">
        <v>0.1</v>
      </c>
      <c r="D6" s="5">
        <v>0</v>
      </c>
      <c r="E6" s="5">
        <v>0.1</v>
      </c>
      <c r="F6" s="5">
        <v>0</v>
      </c>
      <c r="G6" s="5">
        <v>0</v>
      </c>
    </row>
    <row r="7" spans="1:7" s="5" customFormat="1" x14ac:dyDescent="0.55000000000000004">
      <c r="A7" s="5" t="s">
        <v>54</v>
      </c>
      <c r="B7" s="5">
        <v>1</v>
      </c>
      <c r="C7" s="5">
        <v>0.2</v>
      </c>
      <c r="D7" s="5">
        <v>0.1</v>
      </c>
      <c r="E7" s="5">
        <v>0.1</v>
      </c>
      <c r="F7" s="5">
        <v>0</v>
      </c>
      <c r="G7" s="5">
        <v>0</v>
      </c>
    </row>
    <row r="8" spans="1:7" s="5" customFormat="1" x14ac:dyDescent="0.55000000000000004">
      <c r="A8" s="5" t="s">
        <v>55</v>
      </c>
      <c r="B8" s="5">
        <v>1</v>
      </c>
      <c r="C8" s="5">
        <v>0.79999999999999993</v>
      </c>
      <c r="D8" s="5">
        <v>0</v>
      </c>
      <c r="E8" s="5">
        <v>0.1</v>
      </c>
      <c r="F8" s="5">
        <v>0.7</v>
      </c>
      <c r="G8" s="5">
        <v>0</v>
      </c>
    </row>
    <row r="9" spans="1:7" s="5" customFormat="1" x14ac:dyDescent="0.55000000000000004">
      <c r="A9" s="5" t="s">
        <v>93</v>
      </c>
      <c r="B9" s="5">
        <v>1</v>
      </c>
      <c r="C9" s="5">
        <v>0.35</v>
      </c>
      <c r="D9" s="5">
        <v>0.1</v>
      </c>
      <c r="E9" s="5">
        <v>0.25</v>
      </c>
      <c r="F9" s="5">
        <v>0</v>
      </c>
      <c r="G9" s="5">
        <v>0</v>
      </c>
    </row>
    <row r="10" spans="1:7" s="5" customFormat="1" x14ac:dyDescent="0.55000000000000004">
      <c r="A10" s="5" t="s">
        <v>47</v>
      </c>
      <c r="B10" s="5">
        <v>1</v>
      </c>
      <c r="C10" s="5">
        <v>0.1</v>
      </c>
      <c r="D10" s="5">
        <v>0</v>
      </c>
      <c r="E10" s="5">
        <v>0.1</v>
      </c>
      <c r="F10" s="5">
        <v>0</v>
      </c>
      <c r="G10" s="5">
        <v>0</v>
      </c>
    </row>
    <row r="11" spans="1:7" s="5" customFormat="1" x14ac:dyDescent="0.55000000000000004">
      <c r="A11" s="5" t="s">
        <v>51</v>
      </c>
      <c r="B11" s="5">
        <v>1</v>
      </c>
      <c r="C11" s="5">
        <v>0.25</v>
      </c>
      <c r="D11" s="5">
        <v>0</v>
      </c>
      <c r="E11" s="5">
        <v>0.25</v>
      </c>
      <c r="F11" s="5">
        <v>0</v>
      </c>
      <c r="G11" s="5">
        <v>0</v>
      </c>
    </row>
    <row r="12" spans="1:7" s="5" customFormat="1" x14ac:dyDescent="0.55000000000000004">
      <c r="A12" s="5" t="s">
        <v>56</v>
      </c>
      <c r="B12" s="5">
        <v>1</v>
      </c>
      <c r="C12" s="5">
        <v>0.1</v>
      </c>
      <c r="D12" s="5">
        <v>0</v>
      </c>
      <c r="E12" s="5">
        <v>0.1</v>
      </c>
      <c r="F12" s="5">
        <v>0</v>
      </c>
      <c r="G12" s="5">
        <v>0</v>
      </c>
    </row>
    <row r="13" spans="1:7" s="5" customFormat="1" x14ac:dyDescent="0.55000000000000004">
      <c r="A13" s="5" t="s">
        <v>53</v>
      </c>
      <c r="B13" s="5">
        <v>1</v>
      </c>
      <c r="C13" s="5">
        <v>0.5</v>
      </c>
      <c r="D13" s="5">
        <v>0</v>
      </c>
      <c r="E13" s="5">
        <v>0.1</v>
      </c>
      <c r="F13" s="5">
        <v>0</v>
      </c>
      <c r="G13" s="5">
        <v>0.4</v>
      </c>
    </row>
    <row r="14" spans="1:7" s="5" customFormat="1" x14ac:dyDescent="0.55000000000000004">
      <c r="A14" s="5" t="s">
        <v>44</v>
      </c>
      <c r="B14" s="5">
        <v>1</v>
      </c>
      <c r="C14" s="5">
        <v>0.1</v>
      </c>
      <c r="D14" s="5">
        <v>0</v>
      </c>
      <c r="E14" s="5">
        <v>0.1</v>
      </c>
      <c r="F14" s="5">
        <v>0</v>
      </c>
      <c r="G14" s="5">
        <v>0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B3EED-A57D-442D-AC4F-3FC4CE8D87B2}">
  <sheetPr codeName="Sheet3">
    <pageSetUpPr fitToPage="1"/>
  </sheetPr>
  <dimension ref="A1:R112"/>
  <sheetViews>
    <sheetView zoomScale="81" workbookViewId="0">
      <selection activeCell="H11" sqref="H11"/>
    </sheetView>
  </sheetViews>
  <sheetFormatPr defaultRowHeight="14.4" x14ac:dyDescent="0.55000000000000004"/>
  <cols>
    <col min="1" max="1" width="11.62890625" style="5" bestFit="1" customWidth="1"/>
    <col min="2" max="2" width="10.3125" style="5" bestFit="1" customWidth="1"/>
    <col min="3" max="3" width="12.26171875" style="8" bestFit="1" customWidth="1"/>
    <col min="4" max="4" width="14.7890625" style="8" bestFit="1" customWidth="1"/>
    <col min="5" max="5" width="13.47265625" style="8" bestFit="1" customWidth="1"/>
    <col min="6" max="6" width="21.3125" style="8" bestFit="1" customWidth="1"/>
    <col min="7" max="7" width="11.26171875" style="8" bestFit="1" customWidth="1"/>
    <col min="8" max="8" width="17.5234375" style="9" bestFit="1" customWidth="1"/>
    <col min="9" max="9" width="38" style="24" customWidth="1"/>
    <col min="10" max="10" width="14.15625" style="8" bestFit="1" customWidth="1"/>
    <col min="11" max="11" width="4" style="5" bestFit="1" customWidth="1"/>
    <col min="12" max="12" width="14.15625" style="8" bestFit="1" customWidth="1"/>
    <col min="13" max="13" width="4" style="5" bestFit="1" customWidth="1"/>
    <col min="14" max="14" width="14.15625" style="8" bestFit="1" customWidth="1"/>
    <col min="15" max="15" width="4" style="5" bestFit="1" customWidth="1"/>
    <col min="16" max="16" width="14.15625" style="8" bestFit="1" customWidth="1"/>
    <col min="17" max="17" width="4" style="5" bestFit="1" customWidth="1"/>
    <col min="18" max="18" width="14.15625" style="8" bestFit="1" customWidth="1"/>
    <col min="19" max="19" width="1.68359375" style="5" bestFit="1" customWidth="1"/>
    <col min="20" max="16384" width="8.83984375" style="5"/>
  </cols>
  <sheetData>
    <row r="1" spans="1:18" s="14" customFormat="1" x14ac:dyDescent="0.55000000000000004">
      <c r="A1" s="14" t="s">
        <v>10</v>
      </c>
      <c r="B1" s="14" t="s">
        <v>20</v>
      </c>
      <c r="C1" s="14" t="s">
        <v>19</v>
      </c>
      <c r="D1" s="14" t="s">
        <v>15</v>
      </c>
      <c r="E1" s="14" t="s">
        <v>11</v>
      </c>
      <c r="F1" s="14" t="s">
        <v>12</v>
      </c>
      <c r="G1" s="14" t="s">
        <v>3</v>
      </c>
      <c r="H1" s="15" t="s">
        <v>17</v>
      </c>
      <c r="I1" s="25" t="s">
        <v>4</v>
      </c>
      <c r="J1" s="14" t="s">
        <v>5</v>
      </c>
      <c r="L1" s="14" t="s">
        <v>6</v>
      </c>
      <c r="N1" s="14" t="s">
        <v>9</v>
      </c>
      <c r="P1" s="14" t="s">
        <v>7</v>
      </c>
      <c r="R1" s="14" t="s">
        <v>8</v>
      </c>
    </row>
    <row r="2" spans="1:18" s="26" customFormat="1" x14ac:dyDescent="0.55000000000000004">
      <c r="A2" s="5" t="s">
        <v>58</v>
      </c>
      <c r="B2" s="5" t="s">
        <v>16</v>
      </c>
      <c r="C2" s="26">
        <v>0</v>
      </c>
      <c r="D2" s="26" t="s">
        <v>49</v>
      </c>
      <c r="E2" s="26" t="s">
        <v>14</v>
      </c>
      <c r="F2" s="26" t="s">
        <v>48</v>
      </c>
      <c r="G2" s="26">
        <v>0</v>
      </c>
      <c r="H2" s="27"/>
      <c r="I2" s="28" t="s">
        <v>94</v>
      </c>
      <c r="J2" s="26" t="s">
        <v>50</v>
      </c>
      <c r="K2" s="26">
        <v>1.5</v>
      </c>
      <c r="L2" s="26" t="s">
        <v>41</v>
      </c>
      <c r="M2" s="26">
        <v>1.5</v>
      </c>
      <c r="N2" s="26" t="s">
        <v>51</v>
      </c>
      <c r="O2" s="26">
        <v>1.5</v>
      </c>
      <c r="P2" s="26" t="s">
        <v>52</v>
      </c>
      <c r="Q2" s="26">
        <v>1.5</v>
      </c>
    </row>
    <row r="3" spans="1:18" s="26" customFormat="1" x14ac:dyDescent="0.55000000000000004">
      <c r="A3" s="5" t="s">
        <v>58</v>
      </c>
      <c r="B3" s="5" t="s">
        <v>16</v>
      </c>
      <c r="C3" s="26">
        <v>0</v>
      </c>
      <c r="D3" s="26" t="s">
        <v>49</v>
      </c>
      <c r="E3" s="26" t="s">
        <v>14</v>
      </c>
      <c r="F3" s="26" t="s">
        <v>48</v>
      </c>
      <c r="G3" s="26">
        <v>0</v>
      </c>
      <c r="H3" s="27"/>
      <c r="I3" s="28" t="s">
        <v>95</v>
      </c>
      <c r="J3" s="26" t="s">
        <v>43</v>
      </c>
      <c r="K3" s="26">
        <v>1</v>
      </c>
      <c r="L3" s="26" t="s">
        <v>44</v>
      </c>
      <c r="M3" s="26">
        <v>1</v>
      </c>
      <c r="N3" s="26" t="s">
        <v>45</v>
      </c>
      <c r="O3" s="26">
        <v>1</v>
      </c>
      <c r="P3" s="26" t="s">
        <v>41</v>
      </c>
      <c r="Q3" s="26">
        <v>1</v>
      </c>
    </row>
    <row r="4" spans="1:18" s="26" customFormat="1" x14ac:dyDescent="0.55000000000000004">
      <c r="A4" s="5" t="s">
        <v>58</v>
      </c>
      <c r="B4" s="5" t="s">
        <v>16</v>
      </c>
      <c r="C4" s="26">
        <v>0</v>
      </c>
      <c r="D4" s="26" t="s">
        <v>49</v>
      </c>
      <c r="E4" s="26" t="s">
        <v>14</v>
      </c>
      <c r="F4" s="26" t="s">
        <v>48</v>
      </c>
      <c r="G4" s="26">
        <v>0</v>
      </c>
      <c r="H4" s="27"/>
      <c r="I4" s="28" t="s">
        <v>96</v>
      </c>
      <c r="J4" s="26" t="s">
        <v>46</v>
      </c>
      <c r="K4" s="26">
        <v>1</v>
      </c>
      <c r="L4" s="26" t="s">
        <v>47</v>
      </c>
      <c r="M4" s="26">
        <v>1</v>
      </c>
      <c r="N4" s="26" t="s">
        <v>53</v>
      </c>
      <c r="O4" s="26">
        <v>1</v>
      </c>
      <c r="P4" s="26" t="s">
        <v>51</v>
      </c>
      <c r="Q4" s="26">
        <v>1</v>
      </c>
    </row>
    <row r="5" spans="1:18" s="26" customFormat="1" x14ac:dyDescent="0.55000000000000004">
      <c r="A5" s="5" t="s">
        <v>58</v>
      </c>
      <c r="B5" s="5" t="s">
        <v>16</v>
      </c>
      <c r="C5" s="26">
        <v>0</v>
      </c>
      <c r="D5" s="26" t="s">
        <v>49</v>
      </c>
      <c r="E5" s="26" t="s">
        <v>14</v>
      </c>
      <c r="F5" s="26" t="s">
        <v>48</v>
      </c>
      <c r="G5" s="26">
        <v>0</v>
      </c>
      <c r="H5" s="27"/>
      <c r="I5" s="28" t="s">
        <v>97</v>
      </c>
      <c r="J5" s="26" t="s">
        <v>54</v>
      </c>
      <c r="K5" s="26">
        <v>1</v>
      </c>
      <c r="L5" s="26" t="s">
        <v>55</v>
      </c>
      <c r="M5" s="26">
        <v>1</v>
      </c>
      <c r="N5" s="26" t="s">
        <v>56</v>
      </c>
      <c r="O5" s="26">
        <v>1</v>
      </c>
      <c r="P5" s="26" t="s">
        <v>52</v>
      </c>
      <c r="Q5" s="26">
        <v>1</v>
      </c>
    </row>
    <row r="6" spans="1:18" s="26" customFormat="1" x14ac:dyDescent="0.55000000000000004">
      <c r="A6" s="5" t="s">
        <v>58</v>
      </c>
      <c r="B6" s="5" t="s">
        <v>16</v>
      </c>
      <c r="C6" s="26">
        <v>0</v>
      </c>
      <c r="D6" s="26" t="s">
        <v>57</v>
      </c>
      <c r="E6" s="26" t="s">
        <v>14</v>
      </c>
      <c r="F6" s="26" t="s">
        <v>48</v>
      </c>
      <c r="G6" s="26">
        <v>0</v>
      </c>
      <c r="H6" s="27"/>
      <c r="I6" s="28" t="s">
        <v>98</v>
      </c>
      <c r="J6" s="26" t="s">
        <v>50</v>
      </c>
      <c r="K6" s="26">
        <v>10</v>
      </c>
    </row>
    <row r="7" spans="1:18" x14ac:dyDescent="0.55000000000000004">
      <c r="A7" s="5" t="s">
        <v>60</v>
      </c>
      <c r="B7" s="5" t="s">
        <v>60</v>
      </c>
      <c r="C7" s="8">
        <v>1.1000000000000001</v>
      </c>
      <c r="D7" s="8" t="s">
        <v>42</v>
      </c>
      <c r="E7" s="8" t="s">
        <v>2</v>
      </c>
      <c r="F7" s="8" t="s">
        <v>13</v>
      </c>
      <c r="G7" s="8">
        <v>5</v>
      </c>
      <c r="I7" s="28" t="s">
        <v>99</v>
      </c>
      <c r="J7" s="8" t="s">
        <v>43</v>
      </c>
      <c r="K7" s="5">
        <v>2</v>
      </c>
      <c r="L7" s="8" t="s">
        <v>44</v>
      </c>
      <c r="M7" s="5">
        <v>3</v>
      </c>
    </row>
    <row r="8" spans="1:18" x14ac:dyDescent="0.55000000000000004">
      <c r="A8" s="5" t="s">
        <v>60</v>
      </c>
      <c r="B8" s="5" t="s">
        <v>60</v>
      </c>
      <c r="C8" s="8">
        <v>1.2</v>
      </c>
      <c r="D8" s="8" t="s">
        <v>42</v>
      </c>
      <c r="E8" s="8" t="s">
        <v>2</v>
      </c>
      <c r="F8" s="8" t="s">
        <v>13</v>
      </c>
      <c r="G8" s="8">
        <v>4</v>
      </c>
      <c r="I8" s="28" t="s">
        <v>100</v>
      </c>
      <c r="J8" s="8" t="s">
        <v>43</v>
      </c>
      <c r="K8" s="5">
        <v>2</v>
      </c>
      <c r="L8" s="8" t="s">
        <v>44</v>
      </c>
      <c r="M8" s="5">
        <v>2</v>
      </c>
    </row>
    <row r="9" spans="1:18" x14ac:dyDescent="0.55000000000000004">
      <c r="A9" s="5" t="s">
        <v>60</v>
      </c>
      <c r="B9" s="5" t="s">
        <v>60</v>
      </c>
      <c r="C9" s="8">
        <v>1.3</v>
      </c>
      <c r="D9" s="8" t="s">
        <v>42</v>
      </c>
      <c r="E9" s="8" t="s">
        <v>2</v>
      </c>
      <c r="F9" s="8" t="s">
        <v>13</v>
      </c>
      <c r="G9" s="8">
        <v>4</v>
      </c>
      <c r="I9" s="28" t="s">
        <v>101</v>
      </c>
      <c r="J9" s="8" t="s">
        <v>43</v>
      </c>
      <c r="K9" s="5">
        <v>2</v>
      </c>
      <c r="L9" s="8" t="s">
        <v>44</v>
      </c>
      <c r="M9" s="5">
        <v>2</v>
      </c>
    </row>
    <row r="10" spans="1:18" x14ac:dyDescent="0.55000000000000004">
      <c r="A10" s="5" t="s">
        <v>60</v>
      </c>
      <c r="B10" s="5" t="s">
        <v>60</v>
      </c>
      <c r="C10" s="8">
        <v>1.4</v>
      </c>
      <c r="D10" s="8" t="s">
        <v>42</v>
      </c>
      <c r="E10" s="8" t="s">
        <v>2</v>
      </c>
      <c r="F10" s="8" t="s">
        <v>13</v>
      </c>
      <c r="G10" s="8">
        <v>4</v>
      </c>
      <c r="I10" s="28" t="s">
        <v>102</v>
      </c>
      <c r="J10" s="8" t="s">
        <v>43</v>
      </c>
      <c r="K10" s="5">
        <v>2</v>
      </c>
      <c r="L10" s="8" t="s">
        <v>44</v>
      </c>
      <c r="M10" s="5">
        <v>2</v>
      </c>
    </row>
    <row r="11" spans="1:18" x14ac:dyDescent="0.55000000000000004">
      <c r="A11" s="5" t="s">
        <v>60</v>
      </c>
      <c r="B11" s="5" t="s">
        <v>60</v>
      </c>
      <c r="C11" s="8">
        <v>1.5</v>
      </c>
      <c r="D11" s="8" t="s">
        <v>42</v>
      </c>
      <c r="E11" s="8" t="s">
        <v>2</v>
      </c>
      <c r="F11" s="8" t="s">
        <v>13</v>
      </c>
      <c r="G11" s="8">
        <v>4</v>
      </c>
      <c r="I11" s="28" t="s">
        <v>103</v>
      </c>
      <c r="J11" s="8" t="s">
        <v>45</v>
      </c>
      <c r="K11" s="5">
        <v>4</v>
      </c>
    </row>
    <row r="12" spans="1:18" x14ac:dyDescent="0.55000000000000004">
      <c r="A12" s="5" t="s">
        <v>60</v>
      </c>
      <c r="B12" s="5" t="s">
        <v>60</v>
      </c>
      <c r="C12" s="8">
        <v>1.6</v>
      </c>
      <c r="D12" s="8" t="s">
        <v>42</v>
      </c>
      <c r="E12" s="8" t="s">
        <v>2</v>
      </c>
      <c r="F12" s="8" t="s">
        <v>13</v>
      </c>
      <c r="G12" s="8">
        <v>1</v>
      </c>
      <c r="I12" s="28" t="s">
        <v>104</v>
      </c>
      <c r="J12" s="8" t="s">
        <v>45</v>
      </c>
      <c r="K12" s="5">
        <v>1</v>
      </c>
    </row>
    <row r="13" spans="1:18" x14ac:dyDescent="0.55000000000000004">
      <c r="A13" s="5" t="s">
        <v>60</v>
      </c>
      <c r="B13" s="5" t="s">
        <v>60</v>
      </c>
      <c r="C13" s="8">
        <v>2.1</v>
      </c>
      <c r="D13" s="8" t="s">
        <v>42</v>
      </c>
      <c r="E13" s="8" t="s">
        <v>32</v>
      </c>
      <c r="F13" s="8" t="s">
        <v>86</v>
      </c>
      <c r="G13" s="8">
        <v>5</v>
      </c>
      <c r="I13" s="28" t="s">
        <v>105</v>
      </c>
      <c r="J13" s="8" t="s">
        <v>46</v>
      </c>
      <c r="K13" s="5">
        <v>5</v>
      </c>
    </row>
    <row r="14" spans="1:18" x14ac:dyDescent="0.55000000000000004">
      <c r="A14" s="5" t="s">
        <v>60</v>
      </c>
      <c r="B14" s="5" t="s">
        <v>60</v>
      </c>
      <c r="C14" s="8">
        <v>2.2000000000000002</v>
      </c>
      <c r="D14" s="8" t="s">
        <v>42</v>
      </c>
      <c r="E14" s="8" t="s">
        <v>32</v>
      </c>
      <c r="F14" s="8" t="s">
        <v>86</v>
      </c>
      <c r="G14" s="8">
        <v>1</v>
      </c>
      <c r="I14" s="28" t="s">
        <v>106</v>
      </c>
      <c r="J14" s="8" t="s">
        <v>46</v>
      </c>
      <c r="K14" s="5">
        <v>1</v>
      </c>
    </row>
    <row r="15" spans="1:18" x14ac:dyDescent="0.55000000000000004">
      <c r="A15" s="5" t="s">
        <v>60</v>
      </c>
      <c r="B15" s="5" t="s">
        <v>60</v>
      </c>
      <c r="C15" s="8">
        <v>2.2999999999999998</v>
      </c>
      <c r="D15" s="8" t="s">
        <v>42</v>
      </c>
      <c r="E15" s="8" t="s">
        <v>32</v>
      </c>
      <c r="F15" s="8" t="s">
        <v>86</v>
      </c>
      <c r="G15" s="8">
        <v>1</v>
      </c>
      <c r="I15" s="28" t="s">
        <v>107</v>
      </c>
      <c r="J15" s="8" t="s">
        <v>46</v>
      </c>
      <c r="K15" s="5">
        <v>1</v>
      </c>
    </row>
    <row r="16" spans="1:18" x14ac:dyDescent="0.55000000000000004">
      <c r="A16" s="5" t="s">
        <v>60</v>
      </c>
      <c r="B16" s="5" t="s">
        <v>60</v>
      </c>
      <c r="C16" s="8">
        <v>2.4</v>
      </c>
      <c r="D16" s="8" t="s">
        <v>42</v>
      </c>
      <c r="E16" s="8" t="s">
        <v>32</v>
      </c>
      <c r="F16" s="8" t="s">
        <v>86</v>
      </c>
      <c r="G16" s="8">
        <v>6</v>
      </c>
      <c r="I16" s="28" t="s">
        <v>108</v>
      </c>
      <c r="J16" s="8" t="s">
        <v>47</v>
      </c>
      <c r="K16" s="5">
        <v>3</v>
      </c>
      <c r="L16" s="8" t="s">
        <v>51</v>
      </c>
      <c r="M16" s="5">
        <v>3</v>
      </c>
    </row>
    <row r="17" spans="1:13" x14ac:dyDescent="0.55000000000000004">
      <c r="A17" s="5" t="s">
        <v>60</v>
      </c>
      <c r="B17" s="5" t="s">
        <v>60</v>
      </c>
      <c r="C17" s="8">
        <v>2.5</v>
      </c>
      <c r="D17" s="8" t="s">
        <v>42</v>
      </c>
      <c r="E17" s="8" t="s">
        <v>32</v>
      </c>
      <c r="F17" s="8" t="s">
        <v>13</v>
      </c>
      <c r="G17" s="8">
        <v>2</v>
      </c>
      <c r="I17" s="28" t="s">
        <v>109</v>
      </c>
      <c r="J17" s="8" t="s">
        <v>47</v>
      </c>
      <c r="K17" s="5">
        <v>1</v>
      </c>
      <c r="L17" s="8" t="s">
        <v>51</v>
      </c>
      <c r="M17" s="5">
        <v>1</v>
      </c>
    </row>
    <row r="18" spans="1:13" x14ac:dyDescent="0.55000000000000004">
      <c r="A18" s="5" t="s">
        <v>60</v>
      </c>
      <c r="B18" s="5" t="s">
        <v>60</v>
      </c>
      <c r="C18" s="8">
        <v>2.6</v>
      </c>
      <c r="D18" s="8" t="s">
        <v>42</v>
      </c>
      <c r="E18" s="8" t="s">
        <v>32</v>
      </c>
      <c r="F18" s="8" t="s">
        <v>13</v>
      </c>
      <c r="G18" s="8">
        <v>2</v>
      </c>
      <c r="I18" s="28" t="s">
        <v>110</v>
      </c>
      <c r="J18" s="8" t="s">
        <v>47</v>
      </c>
      <c r="K18" s="5">
        <v>1</v>
      </c>
      <c r="L18" s="8" t="s">
        <v>51</v>
      </c>
      <c r="M18" s="5">
        <v>1</v>
      </c>
    </row>
    <row r="19" spans="1:13" x14ac:dyDescent="0.55000000000000004">
      <c r="A19" s="5" t="s">
        <v>60</v>
      </c>
      <c r="B19" s="5" t="s">
        <v>60</v>
      </c>
      <c r="C19" s="8">
        <v>2.7</v>
      </c>
      <c r="D19" s="8" t="s">
        <v>42</v>
      </c>
      <c r="E19" s="8" t="s">
        <v>32</v>
      </c>
      <c r="F19" s="8" t="s">
        <v>13</v>
      </c>
      <c r="G19" s="8">
        <v>1</v>
      </c>
      <c r="I19" s="28" t="s">
        <v>111</v>
      </c>
      <c r="J19" s="8" t="s">
        <v>53</v>
      </c>
      <c r="K19" s="5">
        <v>1</v>
      </c>
    </row>
    <row r="20" spans="1:13" x14ac:dyDescent="0.55000000000000004">
      <c r="A20" s="5" t="s">
        <v>58</v>
      </c>
      <c r="B20" s="5" t="s">
        <v>16</v>
      </c>
      <c r="C20" s="8">
        <v>2.8</v>
      </c>
      <c r="D20" s="8" t="s">
        <v>42</v>
      </c>
      <c r="E20" s="8" t="s">
        <v>32</v>
      </c>
      <c r="F20" s="8" t="s">
        <v>13</v>
      </c>
      <c r="G20" s="8">
        <v>2</v>
      </c>
      <c r="I20" s="28" t="s">
        <v>112</v>
      </c>
      <c r="J20" s="8" t="s">
        <v>53</v>
      </c>
      <c r="K20" s="5">
        <v>2</v>
      </c>
    </row>
    <row r="21" spans="1:13" x14ac:dyDescent="0.55000000000000004">
      <c r="A21" s="5" t="s">
        <v>60</v>
      </c>
      <c r="B21" s="5" t="s">
        <v>60</v>
      </c>
      <c r="C21" s="8">
        <v>2.9</v>
      </c>
      <c r="D21" s="8" t="s">
        <v>42</v>
      </c>
      <c r="E21" s="8" t="s">
        <v>32</v>
      </c>
      <c r="F21" s="8" t="s">
        <v>13</v>
      </c>
      <c r="G21" s="8">
        <v>1</v>
      </c>
      <c r="I21" s="28" t="s">
        <v>113</v>
      </c>
      <c r="J21" s="8" t="s">
        <v>53</v>
      </c>
      <c r="K21" s="5">
        <v>1</v>
      </c>
    </row>
    <row r="22" spans="1:13" x14ac:dyDescent="0.55000000000000004">
      <c r="A22" s="5" t="s">
        <v>60</v>
      </c>
      <c r="B22" s="5" t="s">
        <v>60</v>
      </c>
      <c r="C22" s="8">
        <v>3.1</v>
      </c>
      <c r="D22" s="8" t="s">
        <v>42</v>
      </c>
      <c r="E22" s="8" t="s">
        <v>31</v>
      </c>
      <c r="F22" s="8" t="s">
        <v>13</v>
      </c>
      <c r="G22" s="8">
        <v>2</v>
      </c>
      <c r="I22" s="28" t="s">
        <v>114</v>
      </c>
      <c r="J22" s="8" t="s">
        <v>54</v>
      </c>
      <c r="K22" s="5">
        <v>1</v>
      </c>
      <c r="L22" s="8" t="s">
        <v>52</v>
      </c>
      <c r="M22" s="5">
        <v>1</v>
      </c>
    </row>
    <row r="23" spans="1:13" x14ac:dyDescent="0.55000000000000004">
      <c r="A23" s="5" t="s">
        <v>60</v>
      </c>
      <c r="B23" s="5" t="s">
        <v>60</v>
      </c>
      <c r="C23" s="8">
        <v>3.2</v>
      </c>
      <c r="D23" s="8" t="s">
        <v>42</v>
      </c>
      <c r="E23" s="8" t="s">
        <v>31</v>
      </c>
      <c r="F23" s="8" t="s">
        <v>13</v>
      </c>
      <c r="G23" s="8">
        <v>6</v>
      </c>
      <c r="I23" s="28" t="s">
        <v>115</v>
      </c>
      <c r="J23" s="8" t="s">
        <v>54</v>
      </c>
      <c r="K23" s="5">
        <v>3</v>
      </c>
      <c r="L23" s="8" t="s">
        <v>52</v>
      </c>
      <c r="M23" s="5">
        <v>3</v>
      </c>
    </row>
    <row r="24" spans="1:13" x14ac:dyDescent="0.55000000000000004">
      <c r="A24" s="5" t="s">
        <v>58</v>
      </c>
      <c r="B24" s="5" t="s">
        <v>16</v>
      </c>
      <c r="C24" s="8">
        <v>3.3</v>
      </c>
      <c r="D24" s="8" t="s">
        <v>42</v>
      </c>
      <c r="E24" s="8" t="s">
        <v>2</v>
      </c>
      <c r="F24" s="8" t="s">
        <v>13</v>
      </c>
      <c r="G24" s="8">
        <v>2</v>
      </c>
      <c r="I24" s="28" t="s">
        <v>116</v>
      </c>
      <c r="J24" s="8" t="s">
        <v>54</v>
      </c>
      <c r="K24" s="5">
        <v>1</v>
      </c>
      <c r="L24" s="8" t="s">
        <v>52</v>
      </c>
      <c r="M24" s="5">
        <v>1</v>
      </c>
    </row>
    <row r="25" spans="1:13" x14ac:dyDescent="0.55000000000000004">
      <c r="A25" s="5" t="s">
        <v>58</v>
      </c>
      <c r="B25" s="5" t="s">
        <v>16</v>
      </c>
      <c r="C25" s="8">
        <v>3.4</v>
      </c>
      <c r="D25" s="8" t="s">
        <v>42</v>
      </c>
      <c r="E25" s="8" t="s">
        <v>31</v>
      </c>
      <c r="F25" s="8" t="s">
        <v>13</v>
      </c>
      <c r="G25" s="8">
        <v>7</v>
      </c>
      <c r="I25" s="28" t="s">
        <v>117</v>
      </c>
      <c r="J25" s="8" t="s">
        <v>55</v>
      </c>
      <c r="K25" s="5">
        <v>7</v>
      </c>
    </row>
    <row r="26" spans="1:13" x14ac:dyDescent="0.55000000000000004">
      <c r="A26" s="5" t="s">
        <v>60</v>
      </c>
      <c r="B26" s="5" t="s">
        <v>60</v>
      </c>
      <c r="C26" s="8">
        <v>3.5</v>
      </c>
      <c r="D26" s="8" t="s">
        <v>42</v>
      </c>
      <c r="E26" s="8" t="s">
        <v>2</v>
      </c>
      <c r="F26" s="8" t="s">
        <v>13</v>
      </c>
      <c r="G26" s="8">
        <v>4</v>
      </c>
      <c r="I26" s="28" t="s">
        <v>118</v>
      </c>
      <c r="J26" s="8" t="s">
        <v>56</v>
      </c>
      <c r="K26" s="5">
        <v>4</v>
      </c>
    </row>
    <row r="27" spans="1:13" x14ac:dyDescent="0.55000000000000004">
      <c r="A27" s="5" t="s">
        <v>60</v>
      </c>
      <c r="B27" s="5" t="s">
        <v>60</v>
      </c>
      <c r="C27" s="8">
        <v>1.7</v>
      </c>
      <c r="D27" s="8" t="s">
        <v>42</v>
      </c>
      <c r="E27" s="8" t="s">
        <v>2</v>
      </c>
      <c r="F27" s="8" t="s">
        <v>33</v>
      </c>
      <c r="G27" s="8">
        <v>4</v>
      </c>
      <c r="I27" s="28" t="s">
        <v>119</v>
      </c>
    </row>
    <row r="28" spans="1:13" x14ac:dyDescent="0.55000000000000004">
      <c r="A28" s="5" t="s">
        <v>60</v>
      </c>
      <c r="B28" s="5" t="s">
        <v>60</v>
      </c>
      <c r="C28" s="8">
        <v>1.8</v>
      </c>
      <c r="D28" s="8" t="s">
        <v>42</v>
      </c>
      <c r="E28" s="8" t="s">
        <v>2</v>
      </c>
      <c r="F28" s="8" t="s">
        <v>33</v>
      </c>
      <c r="G28" s="8">
        <v>4</v>
      </c>
      <c r="I28" s="28" t="s">
        <v>120</v>
      </c>
    </row>
    <row r="29" spans="1:13" x14ac:dyDescent="0.55000000000000004">
      <c r="A29" s="5" t="s">
        <v>60</v>
      </c>
      <c r="B29" s="5" t="s">
        <v>60</v>
      </c>
      <c r="C29" s="8">
        <v>1.9</v>
      </c>
      <c r="D29" s="8" t="s">
        <v>33</v>
      </c>
      <c r="E29" s="8" t="s">
        <v>2</v>
      </c>
      <c r="F29" s="8" t="s">
        <v>33</v>
      </c>
      <c r="G29" s="8">
        <v>4</v>
      </c>
      <c r="I29" s="28" t="s">
        <v>121</v>
      </c>
      <c r="J29" s="8" t="s">
        <v>50</v>
      </c>
      <c r="K29" s="5">
        <v>4</v>
      </c>
    </row>
    <row r="30" spans="1:13" x14ac:dyDescent="0.55000000000000004">
      <c r="A30" s="5" t="s">
        <v>60</v>
      </c>
      <c r="B30" s="5" t="s">
        <v>60</v>
      </c>
      <c r="C30" s="30">
        <v>1.1000000000000001</v>
      </c>
      <c r="D30" s="8" t="s">
        <v>33</v>
      </c>
      <c r="E30" s="8" t="s">
        <v>2</v>
      </c>
      <c r="F30" s="8" t="s">
        <v>33</v>
      </c>
      <c r="G30" s="8">
        <v>1</v>
      </c>
      <c r="I30" s="28" t="s">
        <v>122</v>
      </c>
    </row>
    <row r="31" spans="1:13" x14ac:dyDescent="0.55000000000000004">
      <c r="A31" s="5" t="s">
        <v>60</v>
      </c>
      <c r="B31" s="5" t="s">
        <v>60</v>
      </c>
      <c r="C31" s="29">
        <v>3.6</v>
      </c>
      <c r="D31" s="8" t="s">
        <v>61</v>
      </c>
      <c r="E31" s="8" t="s">
        <v>31</v>
      </c>
      <c r="F31" s="8" t="s">
        <v>34</v>
      </c>
      <c r="G31" s="8">
        <v>0.5</v>
      </c>
      <c r="I31" s="28" t="s">
        <v>123</v>
      </c>
    </row>
    <row r="32" spans="1:13" x14ac:dyDescent="0.55000000000000004">
      <c r="A32" s="5" t="s">
        <v>60</v>
      </c>
      <c r="B32" s="5" t="s">
        <v>60</v>
      </c>
      <c r="C32" s="29">
        <v>3.7</v>
      </c>
      <c r="D32" s="8" t="s">
        <v>61</v>
      </c>
      <c r="E32" s="8" t="s">
        <v>31</v>
      </c>
      <c r="F32" s="8" t="s">
        <v>34</v>
      </c>
      <c r="G32" s="8">
        <v>0.5</v>
      </c>
      <c r="I32" s="28" t="s">
        <v>124</v>
      </c>
    </row>
    <row r="33" spans="1:18" s="36" customFormat="1" x14ac:dyDescent="0.55000000000000004">
      <c r="A33" s="36" t="s">
        <v>59</v>
      </c>
      <c r="B33" s="36" t="s">
        <v>16</v>
      </c>
      <c r="C33" s="40">
        <v>3.8</v>
      </c>
      <c r="D33" s="38" t="s">
        <v>61</v>
      </c>
      <c r="E33" s="38" t="s">
        <v>31</v>
      </c>
      <c r="F33" s="38" t="s">
        <v>77</v>
      </c>
      <c r="G33" s="38">
        <v>1</v>
      </c>
      <c r="H33" s="39"/>
      <c r="I33" s="46" t="s">
        <v>125</v>
      </c>
      <c r="J33" s="38"/>
      <c r="L33" s="38"/>
      <c r="N33" s="38"/>
      <c r="P33" s="38"/>
      <c r="R33" s="38"/>
    </row>
    <row r="34" spans="1:18" s="36" customFormat="1" x14ac:dyDescent="0.55000000000000004">
      <c r="A34" s="36" t="s">
        <v>59</v>
      </c>
      <c r="B34" s="36" t="s">
        <v>16</v>
      </c>
      <c r="C34" s="40">
        <v>3.9</v>
      </c>
      <c r="D34" s="38" t="s">
        <v>61</v>
      </c>
      <c r="E34" s="38" t="s">
        <v>31</v>
      </c>
      <c r="F34" s="38" t="s">
        <v>77</v>
      </c>
      <c r="G34" s="38">
        <v>0.5</v>
      </c>
      <c r="H34" s="39"/>
      <c r="I34" s="46" t="s">
        <v>126</v>
      </c>
      <c r="J34" s="38"/>
      <c r="L34" s="38"/>
      <c r="N34" s="38"/>
      <c r="P34" s="38"/>
      <c r="R34" s="38"/>
    </row>
    <row r="35" spans="1:18" s="36" customFormat="1" x14ac:dyDescent="0.55000000000000004">
      <c r="A35" s="36" t="s">
        <v>59</v>
      </c>
      <c r="B35" s="36" t="s">
        <v>16</v>
      </c>
      <c r="C35" s="37">
        <v>2.1</v>
      </c>
      <c r="D35" s="38" t="s">
        <v>61</v>
      </c>
      <c r="E35" s="38" t="s">
        <v>32</v>
      </c>
      <c r="F35" s="38" t="s">
        <v>86</v>
      </c>
      <c r="G35" s="38">
        <v>0.5</v>
      </c>
      <c r="H35" s="39"/>
      <c r="I35" s="46" t="s">
        <v>127</v>
      </c>
      <c r="J35" s="38"/>
      <c r="L35" s="38"/>
      <c r="N35" s="38"/>
      <c r="P35" s="38"/>
      <c r="R35" s="38"/>
    </row>
    <row r="36" spans="1:18" x14ac:dyDescent="0.55000000000000004">
      <c r="A36" s="5" t="s">
        <v>60</v>
      </c>
      <c r="B36" s="5" t="s">
        <v>60</v>
      </c>
      <c r="C36" s="29">
        <v>2.11</v>
      </c>
      <c r="D36" s="8" t="s">
        <v>61</v>
      </c>
      <c r="E36" s="8" t="s">
        <v>32</v>
      </c>
      <c r="F36" s="8" t="s">
        <v>86</v>
      </c>
      <c r="G36" s="8">
        <v>1</v>
      </c>
      <c r="I36" s="28" t="s">
        <v>128</v>
      </c>
    </row>
    <row r="37" spans="1:18" s="36" customFormat="1" x14ac:dyDescent="0.55000000000000004">
      <c r="A37" s="36" t="s">
        <v>59</v>
      </c>
      <c r="B37" s="36" t="s">
        <v>16</v>
      </c>
      <c r="C37" s="38">
        <v>2.12</v>
      </c>
      <c r="D37" s="38" t="s">
        <v>61</v>
      </c>
      <c r="E37" s="38" t="s">
        <v>32</v>
      </c>
      <c r="F37" s="38" t="s">
        <v>86</v>
      </c>
      <c r="G37" s="38">
        <v>0.5</v>
      </c>
      <c r="H37" s="39"/>
      <c r="I37" s="46" t="s">
        <v>129</v>
      </c>
      <c r="J37" s="38"/>
      <c r="L37" s="38"/>
      <c r="N37" s="38"/>
      <c r="P37" s="38"/>
      <c r="R37" s="38"/>
    </row>
    <row r="38" spans="1:18" x14ac:dyDescent="0.55000000000000004">
      <c r="A38" s="5" t="s">
        <v>60</v>
      </c>
      <c r="B38" s="5" t="s">
        <v>60</v>
      </c>
      <c r="C38" s="8">
        <v>2.13</v>
      </c>
      <c r="D38" s="8" t="s">
        <v>61</v>
      </c>
      <c r="E38" s="8" t="s">
        <v>32</v>
      </c>
      <c r="F38" s="8" t="s">
        <v>86</v>
      </c>
      <c r="G38" s="8">
        <v>0.5</v>
      </c>
      <c r="I38" s="28" t="s">
        <v>130</v>
      </c>
    </row>
    <row r="39" spans="1:18" x14ac:dyDescent="0.55000000000000004">
      <c r="A39" s="5" t="s">
        <v>60</v>
      </c>
      <c r="B39" s="5" t="s">
        <v>60</v>
      </c>
      <c r="C39" s="30">
        <v>3.1</v>
      </c>
      <c r="D39" s="8" t="s">
        <v>62</v>
      </c>
      <c r="E39" s="8" t="s">
        <v>31</v>
      </c>
      <c r="F39" s="8" t="s">
        <v>86</v>
      </c>
      <c r="G39" s="8">
        <v>1</v>
      </c>
      <c r="I39" s="28" t="s">
        <v>131</v>
      </c>
    </row>
    <row r="40" spans="1:18" x14ac:dyDescent="0.55000000000000004">
      <c r="A40" s="5" t="s">
        <v>60</v>
      </c>
      <c r="B40" s="5" t="s">
        <v>60</v>
      </c>
      <c r="C40" s="8">
        <v>2.14</v>
      </c>
      <c r="D40" s="8" t="s">
        <v>62</v>
      </c>
      <c r="E40" s="8" t="s">
        <v>32</v>
      </c>
      <c r="F40" s="8" t="s">
        <v>86</v>
      </c>
      <c r="G40" s="8">
        <v>2</v>
      </c>
      <c r="I40" s="28" t="s">
        <v>132</v>
      </c>
    </row>
    <row r="41" spans="1:18" s="36" customFormat="1" x14ac:dyDescent="0.55000000000000004">
      <c r="A41" s="36" t="s">
        <v>59</v>
      </c>
      <c r="B41" s="36" t="s">
        <v>16</v>
      </c>
      <c r="C41" s="38">
        <v>2.15</v>
      </c>
      <c r="D41" s="38" t="s">
        <v>62</v>
      </c>
      <c r="E41" s="38" t="s">
        <v>32</v>
      </c>
      <c r="F41" s="38" t="s">
        <v>86</v>
      </c>
      <c r="G41" s="38">
        <v>1</v>
      </c>
      <c r="H41" s="39"/>
      <c r="I41" s="46" t="s">
        <v>133</v>
      </c>
      <c r="J41" s="38"/>
      <c r="L41" s="38"/>
      <c r="N41" s="38"/>
      <c r="P41" s="38"/>
      <c r="R41" s="38"/>
    </row>
    <row r="42" spans="1:18" x14ac:dyDescent="0.55000000000000004">
      <c r="A42" s="5" t="s">
        <v>60</v>
      </c>
      <c r="B42" s="5" t="s">
        <v>60</v>
      </c>
      <c r="C42" s="8">
        <v>2.16</v>
      </c>
      <c r="D42" s="8" t="s">
        <v>62</v>
      </c>
      <c r="E42" s="8" t="s">
        <v>32</v>
      </c>
      <c r="F42" s="8" t="s">
        <v>86</v>
      </c>
      <c r="G42" s="8">
        <v>1</v>
      </c>
      <c r="I42" s="28" t="s">
        <v>134</v>
      </c>
    </row>
    <row r="43" spans="1:18" x14ac:dyDescent="0.55000000000000004">
      <c r="A43" s="5" t="s">
        <v>60</v>
      </c>
      <c r="B43" s="5" t="s">
        <v>60</v>
      </c>
      <c r="C43" s="8">
        <v>2.17</v>
      </c>
      <c r="D43" s="8" t="s">
        <v>42</v>
      </c>
      <c r="E43" s="8" t="s">
        <v>32</v>
      </c>
      <c r="F43" s="8" t="s">
        <v>13</v>
      </c>
      <c r="G43" s="8">
        <v>1</v>
      </c>
      <c r="I43" s="28" t="s">
        <v>135</v>
      </c>
    </row>
    <row r="44" spans="1:18" x14ac:dyDescent="0.55000000000000004">
      <c r="A44" s="5" t="s">
        <v>60</v>
      </c>
      <c r="B44" s="5" t="s">
        <v>60</v>
      </c>
      <c r="C44" s="8">
        <v>2.23</v>
      </c>
      <c r="D44" s="8" t="s">
        <v>63</v>
      </c>
      <c r="E44" s="8" t="s">
        <v>32</v>
      </c>
      <c r="F44" s="8" t="s">
        <v>13</v>
      </c>
      <c r="G44" s="8">
        <v>1</v>
      </c>
      <c r="I44" s="28" t="s">
        <v>136</v>
      </c>
    </row>
    <row r="45" spans="1:18" x14ac:dyDescent="0.55000000000000004">
      <c r="A45" s="5" t="s">
        <v>60</v>
      </c>
      <c r="B45" s="5" t="s">
        <v>60</v>
      </c>
      <c r="C45" s="8">
        <v>3.11</v>
      </c>
      <c r="D45" s="8" t="s">
        <v>63</v>
      </c>
      <c r="E45" s="8" t="s">
        <v>31</v>
      </c>
      <c r="F45" s="8" t="s">
        <v>82</v>
      </c>
      <c r="G45" s="8">
        <v>1</v>
      </c>
      <c r="I45" s="28" t="s">
        <v>137</v>
      </c>
    </row>
    <row r="46" spans="1:18" x14ac:dyDescent="0.55000000000000004">
      <c r="A46" s="5" t="s">
        <v>60</v>
      </c>
      <c r="B46" s="5" t="s">
        <v>60</v>
      </c>
      <c r="C46" s="8">
        <v>3.12</v>
      </c>
      <c r="D46" s="8" t="s">
        <v>63</v>
      </c>
      <c r="E46" s="8" t="s">
        <v>31</v>
      </c>
      <c r="F46" s="8" t="s">
        <v>79</v>
      </c>
      <c r="G46" s="8">
        <v>3</v>
      </c>
      <c r="I46" s="28" t="s">
        <v>138</v>
      </c>
    </row>
    <row r="47" spans="1:18" x14ac:dyDescent="0.55000000000000004">
      <c r="A47" s="5" t="s">
        <v>60</v>
      </c>
      <c r="B47" s="5" t="s">
        <v>60</v>
      </c>
      <c r="C47" s="8">
        <v>1.1100000000000001</v>
      </c>
      <c r="D47" s="8" t="s">
        <v>63</v>
      </c>
      <c r="E47" s="8" t="s">
        <v>2</v>
      </c>
      <c r="F47" s="8" t="s">
        <v>13</v>
      </c>
      <c r="G47" s="8">
        <v>1</v>
      </c>
      <c r="I47" s="28" t="s">
        <v>139</v>
      </c>
    </row>
    <row r="48" spans="1:18" x14ac:dyDescent="0.55000000000000004">
      <c r="A48" s="5" t="s">
        <v>60</v>
      </c>
      <c r="B48" s="5" t="s">
        <v>60</v>
      </c>
      <c r="C48" s="8">
        <v>1.1200000000000001</v>
      </c>
      <c r="D48" s="8" t="s">
        <v>63</v>
      </c>
      <c r="E48" s="8" t="s">
        <v>2</v>
      </c>
      <c r="F48" s="8" t="s">
        <v>13</v>
      </c>
      <c r="G48" s="8">
        <v>1</v>
      </c>
      <c r="I48" s="28" t="s">
        <v>140</v>
      </c>
    </row>
    <row r="49" spans="1:18" x14ac:dyDescent="0.55000000000000004">
      <c r="A49" s="5" t="s">
        <v>60</v>
      </c>
      <c r="B49" s="5" t="s">
        <v>60</v>
      </c>
      <c r="C49" s="8">
        <v>2.1800000000000002</v>
      </c>
      <c r="D49" s="8" t="s">
        <v>63</v>
      </c>
      <c r="E49" s="8" t="s">
        <v>32</v>
      </c>
      <c r="F49" s="8" t="s">
        <v>13</v>
      </c>
      <c r="G49" s="8">
        <v>2</v>
      </c>
      <c r="I49" s="28" t="s">
        <v>141</v>
      </c>
    </row>
    <row r="50" spans="1:18" x14ac:dyDescent="0.55000000000000004">
      <c r="A50" s="5" t="s">
        <v>60</v>
      </c>
      <c r="B50" s="5" t="s">
        <v>60</v>
      </c>
      <c r="C50" s="8">
        <v>2.19</v>
      </c>
      <c r="D50" s="8" t="s">
        <v>63</v>
      </c>
      <c r="E50" s="8" t="s">
        <v>32</v>
      </c>
      <c r="F50" s="8" t="s">
        <v>78</v>
      </c>
      <c r="G50" s="8">
        <v>2</v>
      </c>
      <c r="I50" s="28" t="s">
        <v>142</v>
      </c>
    </row>
    <row r="51" spans="1:18" x14ac:dyDescent="0.55000000000000004">
      <c r="A51" s="5" t="s">
        <v>60</v>
      </c>
      <c r="B51" s="5" t="s">
        <v>60</v>
      </c>
      <c r="C51" s="30">
        <v>2.2000000000000002</v>
      </c>
      <c r="D51" s="8" t="s">
        <v>63</v>
      </c>
      <c r="E51" s="8" t="s">
        <v>32</v>
      </c>
      <c r="F51" s="8" t="s">
        <v>78</v>
      </c>
      <c r="G51" s="8">
        <v>2</v>
      </c>
      <c r="I51" s="28" t="s">
        <v>143</v>
      </c>
    </row>
    <row r="52" spans="1:18" x14ac:dyDescent="0.55000000000000004">
      <c r="A52" s="5" t="s">
        <v>59</v>
      </c>
      <c r="B52" s="5" t="s">
        <v>59</v>
      </c>
      <c r="C52" s="8">
        <v>2.21</v>
      </c>
      <c r="D52" s="8" t="s">
        <v>63</v>
      </c>
      <c r="E52" s="8" t="s">
        <v>32</v>
      </c>
      <c r="F52" s="8" t="s">
        <v>78</v>
      </c>
      <c r="G52" s="8">
        <v>2</v>
      </c>
      <c r="I52" s="28" t="s">
        <v>144</v>
      </c>
    </row>
    <row r="53" spans="1:18" x14ac:dyDescent="0.55000000000000004">
      <c r="A53" s="5" t="s">
        <v>59</v>
      </c>
      <c r="B53" s="5" t="s">
        <v>59</v>
      </c>
      <c r="C53" s="8">
        <v>2.2200000000000002</v>
      </c>
      <c r="D53" s="8" t="s">
        <v>63</v>
      </c>
      <c r="E53" s="8" t="s">
        <v>32</v>
      </c>
      <c r="F53" s="8" t="s">
        <v>78</v>
      </c>
      <c r="G53" s="8">
        <v>4</v>
      </c>
      <c r="I53" s="28" t="s">
        <v>145</v>
      </c>
    </row>
    <row r="54" spans="1:18" x14ac:dyDescent="0.55000000000000004">
      <c r="A54" s="5" t="s">
        <v>60</v>
      </c>
      <c r="B54" s="5" t="s">
        <v>60</v>
      </c>
      <c r="C54" s="8">
        <v>1.1299999999999999</v>
      </c>
      <c r="D54" s="8" t="s">
        <v>63</v>
      </c>
      <c r="E54" s="8" t="s">
        <v>2</v>
      </c>
      <c r="F54" s="8" t="s">
        <v>48</v>
      </c>
      <c r="G54" s="8">
        <v>30</v>
      </c>
      <c r="I54" s="28" t="s">
        <v>146</v>
      </c>
    </row>
    <row r="55" spans="1:18" s="36" customFormat="1" x14ac:dyDescent="0.55000000000000004">
      <c r="A55" s="36" t="s">
        <v>59</v>
      </c>
      <c r="B55" s="36" t="s">
        <v>16</v>
      </c>
      <c r="C55" s="38">
        <v>1.1399999999999999</v>
      </c>
      <c r="D55" s="38" t="s">
        <v>63</v>
      </c>
      <c r="E55" s="38" t="s">
        <v>2</v>
      </c>
      <c r="F55" s="38" t="s">
        <v>36</v>
      </c>
      <c r="G55" s="38">
        <v>30</v>
      </c>
      <c r="H55" s="39"/>
      <c r="I55" s="46" t="s">
        <v>147</v>
      </c>
      <c r="J55" s="38"/>
      <c r="L55" s="38"/>
      <c r="N55" s="38"/>
      <c r="P55" s="38"/>
      <c r="R55" s="38"/>
    </row>
    <row r="56" spans="1:18" s="36" customFormat="1" x14ac:dyDescent="0.55000000000000004">
      <c r="A56" s="36" t="s">
        <v>59</v>
      </c>
      <c r="B56" s="36" t="s">
        <v>16</v>
      </c>
      <c r="C56" s="38">
        <v>1.1599999999999999</v>
      </c>
      <c r="D56" s="38" t="s">
        <v>63</v>
      </c>
      <c r="E56" s="38" t="s">
        <v>2</v>
      </c>
      <c r="F56" s="38" t="s">
        <v>36</v>
      </c>
      <c r="G56" s="38">
        <v>30</v>
      </c>
      <c r="H56" s="39"/>
      <c r="I56" s="46" t="s">
        <v>148</v>
      </c>
      <c r="J56" s="38"/>
      <c r="L56" s="38"/>
      <c r="N56" s="38"/>
      <c r="P56" s="38"/>
      <c r="R56" s="38"/>
    </row>
    <row r="57" spans="1:18" s="36" customFormat="1" x14ac:dyDescent="0.55000000000000004">
      <c r="A57" s="36" t="s">
        <v>59</v>
      </c>
      <c r="B57" s="36" t="s">
        <v>16</v>
      </c>
      <c r="C57" s="38">
        <v>1.17</v>
      </c>
      <c r="D57" s="38" t="s">
        <v>63</v>
      </c>
      <c r="E57" s="38" t="s">
        <v>2</v>
      </c>
      <c r="F57" s="38" t="s">
        <v>36</v>
      </c>
      <c r="G57" s="38">
        <v>30</v>
      </c>
      <c r="H57" s="39"/>
      <c r="I57" s="46" t="s">
        <v>149</v>
      </c>
      <c r="J57" s="38"/>
      <c r="L57" s="38"/>
      <c r="N57" s="38"/>
      <c r="P57" s="38"/>
      <c r="R57" s="38"/>
    </row>
    <row r="58" spans="1:18" s="36" customFormat="1" x14ac:dyDescent="0.55000000000000004">
      <c r="A58" s="36" t="s">
        <v>59</v>
      </c>
      <c r="B58" s="36" t="s">
        <v>16</v>
      </c>
      <c r="C58" s="38">
        <v>1.1499999999999999</v>
      </c>
      <c r="D58" s="38" t="s">
        <v>63</v>
      </c>
      <c r="E58" s="38" t="s">
        <v>2</v>
      </c>
      <c r="F58" s="38" t="s">
        <v>30</v>
      </c>
      <c r="G58" s="38">
        <v>30</v>
      </c>
      <c r="H58" s="39"/>
      <c r="I58" s="46" t="s">
        <v>150</v>
      </c>
      <c r="J58" s="38"/>
      <c r="L58" s="38"/>
      <c r="N58" s="38"/>
      <c r="P58" s="38"/>
      <c r="R58" s="38"/>
    </row>
    <row r="59" spans="1:18" s="36" customFormat="1" x14ac:dyDescent="0.55000000000000004">
      <c r="A59" s="36" t="s">
        <v>59</v>
      </c>
      <c r="B59" s="36" t="s">
        <v>16</v>
      </c>
      <c r="C59" s="38">
        <v>1.18</v>
      </c>
      <c r="D59" s="38" t="s">
        <v>64</v>
      </c>
      <c r="E59" s="38" t="s">
        <v>2</v>
      </c>
      <c r="F59" s="38" t="s">
        <v>30</v>
      </c>
      <c r="G59" s="38">
        <v>15</v>
      </c>
      <c r="H59" s="39"/>
      <c r="I59" s="46" t="s">
        <v>151</v>
      </c>
      <c r="J59" s="38"/>
      <c r="L59" s="38"/>
      <c r="N59" s="38"/>
      <c r="P59" s="38"/>
      <c r="R59" s="38"/>
    </row>
    <row r="60" spans="1:18" x14ac:dyDescent="0.55000000000000004">
      <c r="A60" s="5" t="s">
        <v>58</v>
      </c>
      <c r="B60" s="5" t="s">
        <v>16</v>
      </c>
      <c r="C60" s="8">
        <v>3.13</v>
      </c>
      <c r="D60" s="8" t="s">
        <v>61</v>
      </c>
      <c r="E60" s="8" t="s">
        <v>31</v>
      </c>
      <c r="F60" s="8" t="s">
        <v>77</v>
      </c>
      <c r="G60" s="8">
        <v>1</v>
      </c>
      <c r="I60" s="28" t="s">
        <v>152</v>
      </c>
    </row>
    <row r="61" spans="1:18" x14ac:dyDescent="0.55000000000000004">
      <c r="A61" s="5" t="s">
        <v>58</v>
      </c>
      <c r="B61" s="5" t="s">
        <v>16</v>
      </c>
      <c r="C61" s="8">
        <v>1.19</v>
      </c>
      <c r="D61" s="8" t="s">
        <v>63</v>
      </c>
      <c r="E61" s="8" t="s">
        <v>2</v>
      </c>
      <c r="F61" s="8" t="s">
        <v>30</v>
      </c>
      <c r="G61" s="8">
        <v>0.5</v>
      </c>
      <c r="I61" s="28" t="s">
        <v>153</v>
      </c>
    </row>
    <row r="62" spans="1:18" s="36" customFormat="1" ht="28.8" x14ac:dyDescent="0.55000000000000004">
      <c r="A62" s="36" t="s">
        <v>59</v>
      </c>
      <c r="B62" s="36" t="s">
        <v>16</v>
      </c>
      <c r="C62" s="38">
        <v>3.14</v>
      </c>
      <c r="D62" s="45" t="s">
        <v>65</v>
      </c>
      <c r="E62" s="38" t="s">
        <v>31</v>
      </c>
      <c r="F62" s="38" t="s">
        <v>81</v>
      </c>
      <c r="G62" s="38">
        <v>40</v>
      </c>
      <c r="H62" s="39"/>
      <c r="I62" s="46" t="s">
        <v>154</v>
      </c>
      <c r="J62" s="38"/>
      <c r="L62" s="38"/>
      <c r="N62" s="38"/>
      <c r="P62" s="38"/>
      <c r="R62" s="38"/>
    </row>
    <row r="63" spans="1:18" s="36" customFormat="1" ht="28.8" x14ac:dyDescent="0.55000000000000004">
      <c r="A63" s="36" t="s">
        <v>59</v>
      </c>
      <c r="B63" s="36" t="s">
        <v>16</v>
      </c>
      <c r="C63" s="38">
        <v>2.23</v>
      </c>
      <c r="D63" s="45" t="s">
        <v>66</v>
      </c>
      <c r="E63" s="38" t="s">
        <v>32</v>
      </c>
      <c r="F63" s="38" t="s">
        <v>81</v>
      </c>
      <c r="G63" s="38">
        <v>40</v>
      </c>
      <c r="H63" s="39"/>
      <c r="I63" s="46" t="s">
        <v>155</v>
      </c>
      <c r="J63" s="38"/>
      <c r="L63" s="38"/>
      <c r="N63" s="38"/>
      <c r="P63" s="38"/>
      <c r="R63" s="38"/>
    </row>
    <row r="64" spans="1:18" x14ac:dyDescent="0.55000000000000004">
      <c r="A64" s="5" t="s">
        <v>59</v>
      </c>
      <c r="B64" s="5" t="s">
        <v>59</v>
      </c>
      <c r="C64" s="8">
        <v>3.15</v>
      </c>
      <c r="D64" s="8" t="s">
        <v>67</v>
      </c>
      <c r="E64" s="8" t="s">
        <v>31</v>
      </c>
      <c r="F64" s="8" t="s">
        <v>80</v>
      </c>
      <c r="G64" s="8">
        <v>5</v>
      </c>
      <c r="I64" s="28" t="s">
        <v>156</v>
      </c>
    </row>
    <row r="65" spans="1:18" x14ac:dyDescent="0.55000000000000004">
      <c r="A65" s="5" t="s">
        <v>59</v>
      </c>
      <c r="B65" s="5" t="s">
        <v>59</v>
      </c>
      <c r="C65" s="8">
        <v>3.16</v>
      </c>
      <c r="D65" s="8" t="s">
        <v>67</v>
      </c>
      <c r="E65" s="8" t="s">
        <v>31</v>
      </c>
      <c r="F65" s="8" t="s">
        <v>37</v>
      </c>
      <c r="G65" s="8">
        <v>5</v>
      </c>
      <c r="I65" s="28" t="s">
        <v>157</v>
      </c>
    </row>
    <row r="66" spans="1:18" s="36" customFormat="1" x14ac:dyDescent="0.55000000000000004">
      <c r="A66" s="36" t="s">
        <v>59</v>
      </c>
      <c r="B66" s="36" t="s">
        <v>16</v>
      </c>
      <c r="C66" s="38">
        <v>2.2400000000000002</v>
      </c>
      <c r="D66" s="38" t="s">
        <v>67</v>
      </c>
      <c r="E66" s="38" t="s">
        <v>32</v>
      </c>
      <c r="F66" s="38" t="s">
        <v>40</v>
      </c>
      <c r="G66" s="38">
        <v>100</v>
      </c>
      <c r="H66" s="39"/>
      <c r="I66" s="46" t="s">
        <v>158</v>
      </c>
      <c r="J66" s="38"/>
      <c r="L66" s="38"/>
      <c r="N66" s="38"/>
      <c r="P66" s="38"/>
      <c r="R66" s="38"/>
    </row>
    <row r="67" spans="1:18" x14ac:dyDescent="0.55000000000000004">
      <c r="A67" s="5" t="s">
        <v>60</v>
      </c>
      <c r="B67" s="5" t="s">
        <v>60</v>
      </c>
      <c r="C67" s="8">
        <v>0.1</v>
      </c>
      <c r="D67" s="8" t="s">
        <v>68</v>
      </c>
      <c r="E67" s="8" t="s">
        <v>14</v>
      </c>
      <c r="F67" s="8" t="s">
        <v>33</v>
      </c>
      <c r="G67" s="8">
        <v>2</v>
      </c>
      <c r="I67" s="28" t="s">
        <v>159</v>
      </c>
    </row>
    <row r="68" spans="1:18" x14ac:dyDescent="0.55000000000000004">
      <c r="A68" s="5" t="s">
        <v>60</v>
      </c>
      <c r="B68" s="5" t="s">
        <v>60</v>
      </c>
      <c r="C68" s="8">
        <v>0.2</v>
      </c>
      <c r="D68" s="8" t="s">
        <v>88</v>
      </c>
      <c r="E68" s="8" t="s">
        <v>14</v>
      </c>
      <c r="F68" s="8" t="s">
        <v>83</v>
      </c>
      <c r="G68" s="8">
        <v>1.5</v>
      </c>
      <c r="I68" s="28" t="s">
        <v>160</v>
      </c>
    </row>
    <row r="69" spans="1:18" x14ac:dyDescent="0.55000000000000004">
      <c r="A69" s="5" t="s">
        <v>59</v>
      </c>
      <c r="B69" s="5" t="s">
        <v>59</v>
      </c>
      <c r="C69" s="30">
        <v>1.2</v>
      </c>
      <c r="D69" s="8" t="s">
        <v>63</v>
      </c>
      <c r="E69" s="8" t="s">
        <v>2</v>
      </c>
      <c r="F69" s="8" t="s">
        <v>78</v>
      </c>
      <c r="G69" s="8">
        <v>5</v>
      </c>
      <c r="I69" s="28" t="s">
        <v>161</v>
      </c>
    </row>
    <row r="70" spans="1:18" s="36" customFormat="1" x14ac:dyDescent="0.55000000000000004">
      <c r="A70" s="36" t="s">
        <v>59</v>
      </c>
      <c r="B70" s="36" t="s">
        <v>16</v>
      </c>
      <c r="C70" s="38">
        <v>1.21</v>
      </c>
      <c r="D70" s="38" t="s">
        <v>63</v>
      </c>
      <c r="E70" s="38" t="s">
        <v>2</v>
      </c>
      <c r="F70" s="38" t="s">
        <v>38</v>
      </c>
      <c r="G70" s="38">
        <v>5</v>
      </c>
      <c r="H70" s="39"/>
      <c r="I70" s="46" t="s">
        <v>162</v>
      </c>
      <c r="J70" s="38"/>
      <c r="L70" s="38"/>
      <c r="N70" s="38"/>
      <c r="P70" s="38"/>
      <c r="R70" s="38"/>
    </row>
    <row r="71" spans="1:18" s="36" customFormat="1" x14ac:dyDescent="0.55000000000000004">
      <c r="A71" s="36" t="s">
        <v>59</v>
      </c>
      <c r="B71" s="36" t="s">
        <v>16</v>
      </c>
      <c r="C71" s="38">
        <v>0.3</v>
      </c>
      <c r="D71" s="38" t="s">
        <v>69</v>
      </c>
      <c r="E71" s="38" t="s">
        <v>14</v>
      </c>
      <c r="F71" s="38" t="s">
        <v>39</v>
      </c>
      <c r="G71" s="38">
        <v>2</v>
      </c>
      <c r="H71" s="39"/>
      <c r="I71" s="46" t="s">
        <v>163</v>
      </c>
      <c r="J71" s="38"/>
      <c r="L71" s="38"/>
      <c r="N71" s="38"/>
      <c r="P71" s="38"/>
      <c r="R71" s="38"/>
    </row>
    <row r="72" spans="1:18" x14ac:dyDescent="0.55000000000000004">
      <c r="A72" s="5" t="s">
        <v>59</v>
      </c>
      <c r="B72" s="5" t="s">
        <v>59</v>
      </c>
      <c r="C72" s="8">
        <v>0.4</v>
      </c>
      <c r="D72" s="8" t="s">
        <v>69</v>
      </c>
      <c r="E72" s="8" t="s">
        <v>14</v>
      </c>
      <c r="F72" s="8" t="s">
        <v>70</v>
      </c>
      <c r="G72" s="8">
        <v>2</v>
      </c>
      <c r="I72" s="28" t="s">
        <v>164</v>
      </c>
    </row>
    <row r="73" spans="1:18" s="36" customFormat="1" x14ac:dyDescent="0.55000000000000004">
      <c r="A73" s="36" t="s">
        <v>59</v>
      </c>
      <c r="B73" s="36" t="s">
        <v>16</v>
      </c>
      <c r="C73" s="38">
        <v>2.25</v>
      </c>
      <c r="D73" s="38" t="s">
        <v>67</v>
      </c>
      <c r="E73" s="38" t="s">
        <v>32</v>
      </c>
      <c r="F73" s="38" t="s">
        <v>86</v>
      </c>
      <c r="G73" s="38">
        <v>20</v>
      </c>
      <c r="H73" s="39"/>
      <c r="I73" s="46" t="s">
        <v>165</v>
      </c>
      <c r="J73" s="38"/>
      <c r="L73" s="38"/>
      <c r="N73" s="38"/>
      <c r="P73" s="38"/>
      <c r="R73" s="38"/>
    </row>
    <row r="74" spans="1:18" s="36" customFormat="1" x14ac:dyDescent="0.55000000000000004">
      <c r="A74" s="36" t="s">
        <v>59</v>
      </c>
      <c r="B74" s="36" t="s">
        <v>16</v>
      </c>
      <c r="C74" s="38">
        <v>3.17</v>
      </c>
      <c r="D74" s="38" t="s">
        <v>67</v>
      </c>
      <c r="E74" s="38" t="s">
        <v>31</v>
      </c>
      <c r="F74" s="38" t="s">
        <v>86</v>
      </c>
      <c r="G74" s="38">
        <v>20</v>
      </c>
      <c r="H74" s="39"/>
      <c r="I74" s="46" t="s">
        <v>166</v>
      </c>
      <c r="J74" s="38"/>
      <c r="L74" s="38"/>
      <c r="N74" s="38"/>
      <c r="P74" s="38"/>
      <c r="R74" s="38"/>
    </row>
    <row r="75" spans="1:18" x14ac:dyDescent="0.55000000000000004">
      <c r="A75" s="5" t="s">
        <v>59</v>
      </c>
      <c r="B75" s="5" t="s">
        <v>59</v>
      </c>
      <c r="C75" s="8">
        <v>1.22</v>
      </c>
      <c r="D75" s="8" t="s">
        <v>71</v>
      </c>
      <c r="E75" s="8" t="s">
        <v>2</v>
      </c>
      <c r="F75" s="8" t="s">
        <v>79</v>
      </c>
      <c r="G75" s="8">
        <v>1</v>
      </c>
      <c r="I75" s="28" t="s">
        <v>167</v>
      </c>
    </row>
    <row r="76" spans="1:18" s="36" customFormat="1" x14ac:dyDescent="0.55000000000000004">
      <c r="A76" s="36" t="s">
        <v>59</v>
      </c>
      <c r="B76" s="36" t="s">
        <v>16</v>
      </c>
      <c r="C76" s="38">
        <v>1.23</v>
      </c>
      <c r="D76" s="38" t="s">
        <v>71</v>
      </c>
      <c r="E76" s="38" t="s">
        <v>2</v>
      </c>
      <c r="F76" s="38" t="s">
        <v>36</v>
      </c>
      <c r="G76" s="38">
        <v>1</v>
      </c>
      <c r="H76" s="39"/>
      <c r="I76" s="46" t="s">
        <v>168</v>
      </c>
      <c r="J76" s="38"/>
      <c r="L76" s="38"/>
      <c r="N76" s="38"/>
      <c r="P76" s="38"/>
      <c r="R76" s="38"/>
    </row>
    <row r="77" spans="1:18" s="36" customFormat="1" ht="28.8" x14ac:dyDescent="0.55000000000000004">
      <c r="A77" s="36" t="s">
        <v>59</v>
      </c>
      <c r="B77" s="36" t="s">
        <v>16</v>
      </c>
      <c r="C77" s="38">
        <v>1.24</v>
      </c>
      <c r="D77" s="45" t="s">
        <v>72</v>
      </c>
      <c r="E77" s="38" t="s">
        <v>2</v>
      </c>
      <c r="F77" s="38" t="s">
        <v>36</v>
      </c>
      <c r="G77" s="38">
        <v>3</v>
      </c>
      <c r="H77" s="39"/>
      <c r="I77" s="46" t="s">
        <v>169</v>
      </c>
      <c r="J77" s="38"/>
      <c r="L77" s="38"/>
      <c r="N77" s="38"/>
      <c r="P77" s="38"/>
      <c r="R77" s="38"/>
    </row>
    <row r="78" spans="1:18" ht="28.8" x14ac:dyDescent="0.55000000000000004">
      <c r="A78" s="5" t="s">
        <v>59</v>
      </c>
      <c r="B78" s="5" t="s">
        <v>59</v>
      </c>
      <c r="C78" s="8">
        <v>3.18</v>
      </c>
      <c r="D78" s="31" t="s">
        <v>72</v>
      </c>
      <c r="E78" s="8" t="s">
        <v>31</v>
      </c>
      <c r="F78" s="8" t="s">
        <v>80</v>
      </c>
      <c r="G78" s="8">
        <v>1</v>
      </c>
      <c r="I78" s="28" t="s">
        <v>170</v>
      </c>
    </row>
    <row r="79" spans="1:18" s="36" customFormat="1" ht="28.8" x14ac:dyDescent="0.55000000000000004">
      <c r="A79" s="36" t="s">
        <v>59</v>
      </c>
      <c r="B79" s="36" t="s">
        <v>16</v>
      </c>
      <c r="C79" s="38">
        <v>1.25</v>
      </c>
      <c r="D79" s="45" t="s">
        <v>72</v>
      </c>
      <c r="E79" s="38" t="s">
        <v>2</v>
      </c>
      <c r="F79" s="38" t="s">
        <v>36</v>
      </c>
      <c r="G79" s="38">
        <v>2</v>
      </c>
      <c r="H79" s="39"/>
      <c r="I79" s="46" t="s">
        <v>171</v>
      </c>
      <c r="J79" s="38"/>
      <c r="L79" s="38"/>
      <c r="N79" s="38"/>
      <c r="P79" s="38"/>
      <c r="R79" s="38"/>
    </row>
    <row r="80" spans="1:18" s="36" customFormat="1" x14ac:dyDescent="0.55000000000000004">
      <c r="A80" s="36" t="s">
        <v>59</v>
      </c>
      <c r="B80" s="36" t="s">
        <v>16</v>
      </c>
      <c r="C80" s="38">
        <v>1.26</v>
      </c>
      <c r="D80" s="38" t="s">
        <v>63</v>
      </c>
      <c r="E80" s="38" t="s">
        <v>2</v>
      </c>
      <c r="F80" s="38" t="s">
        <v>36</v>
      </c>
      <c r="G80" s="38">
        <v>2</v>
      </c>
      <c r="H80" s="39"/>
      <c r="I80" s="46" t="s">
        <v>172</v>
      </c>
      <c r="J80" s="38"/>
      <c r="L80" s="38"/>
      <c r="N80" s="38"/>
      <c r="P80" s="38"/>
      <c r="R80" s="38"/>
    </row>
    <row r="81" spans="1:18" s="36" customFormat="1" x14ac:dyDescent="0.55000000000000004">
      <c r="A81" s="36" t="s">
        <v>59</v>
      </c>
      <c r="B81" s="36" t="s">
        <v>16</v>
      </c>
      <c r="C81" s="38">
        <v>1.27</v>
      </c>
      <c r="D81" s="38" t="s">
        <v>63</v>
      </c>
      <c r="E81" s="38" t="s">
        <v>2</v>
      </c>
      <c r="F81" s="38" t="s">
        <v>36</v>
      </c>
      <c r="G81" s="38">
        <v>0.5</v>
      </c>
      <c r="H81" s="39"/>
      <c r="I81" s="46" t="s">
        <v>173</v>
      </c>
      <c r="J81" s="38"/>
      <c r="L81" s="38"/>
      <c r="N81" s="38"/>
      <c r="P81" s="38"/>
      <c r="R81" s="38"/>
    </row>
    <row r="82" spans="1:18" x14ac:dyDescent="0.55000000000000004">
      <c r="A82" s="5" t="s">
        <v>60</v>
      </c>
      <c r="B82" s="5" t="s">
        <v>60</v>
      </c>
      <c r="C82" s="8">
        <v>2.2599999999999998</v>
      </c>
      <c r="D82" s="8" t="s">
        <v>42</v>
      </c>
      <c r="E82" s="8" t="s">
        <v>32</v>
      </c>
      <c r="F82" s="8" t="s">
        <v>13</v>
      </c>
      <c r="G82" s="8">
        <v>2</v>
      </c>
      <c r="I82" s="28" t="s">
        <v>174</v>
      </c>
      <c r="J82" s="8" t="s">
        <v>46</v>
      </c>
      <c r="K82" s="5">
        <v>2</v>
      </c>
    </row>
    <row r="83" spans="1:18" x14ac:dyDescent="0.55000000000000004">
      <c r="A83" s="5" t="s">
        <v>60</v>
      </c>
      <c r="B83" s="5" t="s">
        <v>60</v>
      </c>
      <c r="C83" s="8">
        <v>3.19</v>
      </c>
      <c r="D83" s="8" t="s">
        <v>42</v>
      </c>
      <c r="E83" s="8" t="s">
        <v>31</v>
      </c>
      <c r="F83" s="8" t="s">
        <v>13</v>
      </c>
      <c r="G83" s="8">
        <v>1</v>
      </c>
      <c r="I83" s="28" t="s">
        <v>175</v>
      </c>
      <c r="J83" s="8" t="s">
        <v>56</v>
      </c>
      <c r="K83" s="5">
        <v>1</v>
      </c>
    </row>
    <row r="84" spans="1:18" x14ac:dyDescent="0.55000000000000004">
      <c r="A84" s="5" t="s">
        <v>60</v>
      </c>
      <c r="B84" s="5" t="s">
        <v>60</v>
      </c>
      <c r="C84" s="30">
        <v>3.2</v>
      </c>
      <c r="D84" s="8" t="s">
        <v>42</v>
      </c>
      <c r="E84" s="8" t="s">
        <v>31</v>
      </c>
      <c r="F84" s="8" t="s">
        <v>13</v>
      </c>
      <c r="G84" s="8">
        <v>0.5</v>
      </c>
      <c r="I84" s="28" t="s">
        <v>176</v>
      </c>
      <c r="J84" s="8" t="s">
        <v>56</v>
      </c>
      <c r="K84" s="5">
        <v>0.5</v>
      </c>
    </row>
    <row r="85" spans="1:18" x14ac:dyDescent="0.55000000000000004">
      <c r="A85" s="5" t="s">
        <v>60</v>
      </c>
      <c r="B85" s="5" t="s">
        <v>60</v>
      </c>
      <c r="C85" s="8">
        <v>3.21</v>
      </c>
      <c r="D85" s="8" t="s">
        <v>42</v>
      </c>
      <c r="E85" s="8" t="s">
        <v>31</v>
      </c>
      <c r="F85" s="8" t="s">
        <v>13</v>
      </c>
      <c r="G85" s="8">
        <v>0.5</v>
      </c>
      <c r="I85" s="28" t="s">
        <v>177</v>
      </c>
      <c r="J85" s="8" t="s">
        <v>56</v>
      </c>
      <c r="K85" s="5">
        <v>0.5</v>
      </c>
    </row>
    <row r="86" spans="1:18" x14ac:dyDescent="0.55000000000000004">
      <c r="A86" s="5" t="s">
        <v>60</v>
      </c>
      <c r="B86" s="5" t="s">
        <v>60</v>
      </c>
      <c r="C86" s="8">
        <v>3.22</v>
      </c>
      <c r="D86" s="8" t="s">
        <v>42</v>
      </c>
      <c r="E86" s="8" t="s">
        <v>31</v>
      </c>
      <c r="F86" s="8" t="s">
        <v>13</v>
      </c>
      <c r="G86" s="8">
        <v>0.5</v>
      </c>
      <c r="I86" s="28" t="s">
        <v>178</v>
      </c>
      <c r="J86" s="8" t="s">
        <v>56</v>
      </c>
      <c r="K86" s="5">
        <v>0.5</v>
      </c>
    </row>
    <row r="87" spans="1:18" x14ac:dyDescent="0.55000000000000004">
      <c r="A87" s="5" t="s">
        <v>60</v>
      </c>
      <c r="B87" s="5" t="s">
        <v>60</v>
      </c>
      <c r="C87" s="8">
        <v>1.28</v>
      </c>
      <c r="D87" s="8" t="s">
        <v>42</v>
      </c>
      <c r="E87" s="8" t="s">
        <v>2</v>
      </c>
      <c r="F87" s="8" t="s">
        <v>13</v>
      </c>
      <c r="G87" s="8">
        <v>1</v>
      </c>
      <c r="I87" s="28" t="s">
        <v>179</v>
      </c>
      <c r="J87" s="8" t="s">
        <v>43</v>
      </c>
      <c r="K87" s="5">
        <v>1</v>
      </c>
    </row>
    <row r="88" spans="1:18" x14ac:dyDescent="0.55000000000000004">
      <c r="A88" s="5" t="s">
        <v>60</v>
      </c>
      <c r="B88" s="5" t="s">
        <v>60</v>
      </c>
      <c r="C88" s="8">
        <v>1.29</v>
      </c>
      <c r="D88" s="8" t="s">
        <v>42</v>
      </c>
      <c r="E88" s="8" t="s">
        <v>2</v>
      </c>
      <c r="F88" s="8" t="s">
        <v>13</v>
      </c>
      <c r="G88" s="8">
        <v>6.5</v>
      </c>
      <c r="I88" s="28" t="s">
        <v>180</v>
      </c>
      <c r="J88" s="8" t="s">
        <v>41</v>
      </c>
      <c r="K88" s="5">
        <v>2.5</v>
      </c>
      <c r="L88" s="8" t="s">
        <v>45</v>
      </c>
      <c r="M88" s="5">
        <v>4</v>
      </c>
    </row>
    <row r="89" spans="1:18" x14ac:dyDescent="0.55000000000000004">
      <c r="A89" s="5" t="s">
        <v>60</v>
      </c>
      <c r="B89" s="5" t="s">
        <v>60</v>
      </c>
      <c r="C89" s="30">
        <v>1.3</v>
      </c>
      <c r="D89" s="8" t="s">
        <v>42</v>
      </c>
      <c r="E89" s="8" t="s">
        <v>2</v>
      </c>
      <c r="F89" s="8" t="s">
        <v>13</v>
      </c>
      <c r="G89" s="8">
        <v>0.5</v>
      </c>
      <c r="I89" s="28" t="s">
        <v>181</v>
      </c>
      <c r="J89" s="8" t="s">
        <v>41</v>
      </c>
      <c r="K89" s="5">
        <v>0.5</v>
      </c>
    </row>
    <row r="90" spans="1:18" x14ac:dyDescent="0.55000000000000004">
      <c r="A90" s="5" t="s">
        <v>60</v>
      </c>
      <c r="B90" s="5" t="s">
        <v>60</v>
      </c>
      <c r="C90" s="8">
        <v>1.31</v>
      </c>
      <c r="D90" s="8" t="s">
        <v>42</v>
      </c>
      <c r="E90" s="8" t="s">
        <v>2</v>
      </c>
      <c r="F90" s="8" t="s">
        <v>13</v>
      </c>
      <c r="G90" s="8">
        <v>1</v>
      </c>
      <c r="I90" s="28" t="s">
        <v>182</v>
      </c>
      <c r="J90" s="8" t="s">
        <v>41</v>
      </c>
      <c r="K90" s="5">
        <v>1</v>
      </c>
    </row>
    <row r="91" spans="1:18" x14ac:dyDescent="0.55000000000000004">
      <c r="A91" s="5" t="s">
        <v>60</v>
      </c>
      <c r="B91" s="5" t="s">
        <v>60</v>
      </c>
      <c r="C91" s="8">
        <v>1.32</v>
      </c>
      <c r="D91" s="8" t="s">
        <v>42</v>
      </c>
      <c r="E91" s="8" t="s">
        <v>2</v>
      </c>
      <c r="F91" s="8" t="s">
        <v>13</v>
      </c>
      <c r="G91" s="8">
        <v>2</v>
      </c>
      <c r="I91" s="28" t="s">
        <v>183</v>
      </c>
      <c r="J91" s="8" t="s">
        <v>41</v>
      </c>
      <c r="K91" s="5">
        <v>2</v>
      </c>
    </row>
    <row r="92" spans="1:18" x14ac:dyDescent="0.55000000000000004">
      <c r="A92" s="5" t="s">
        <v>60</v>
      </c>
      <c r="B92" s="5" t="s">
        <v>60</v>
      </c>
      <c r="C92" s="8">
        <v>1.33</v>
      </c>
      <c r="D92" s="8" t="s">
        <v>42</v>
      </c>
      <c r="E92" s="8" t="s">
        <v>2</v>
      </c>
      <c r="F92" s="8" t="s">
        <v>13</v>
      </c>
      <c r="G92" s="8">
        <v>1</v>
      </c>
      <c r="I92" s="28" t="s">
        <v>184</v>
      </c>
      <c r="J92" s="8" t="s">
        <v>41</v>
      </c>
      <c r="K92" s="5">
        <v>1.5</v>
      </c>
    </row>
    <row r="93" spans="1:18" x14ac:dyDescent="0.55000000000000004">
      <c r="A93" s="5" t="s">
        <v>60</v>
      </c>
      <c r="B93" s="5" t="s">
        <v>60</v>
      </c>
      <c r="C93" s="8">
        <v>2.27</v>
      </c>
      <c r="D93" s="8" t="s">
        <v>42</v>
      </c>
      <c r="E93" s="8" t="s">
        <v>32</v>
      </c>
      <c r="F93" s="8" t="s">
        <v>13</v>
      </c>
      <c r="G93" s="8">
        <v>1</v>
      </c>
      <c r="I93" s="28" t="s">
        <v>185</v>
      </c>
      <c r="J93" s="8" t="s">
        <v>53</v>
      </c>
      <c r="K93" s="5">
        <v>1</v>
      </c>
    </row>
    <row r="94" spans="1:18" x14ac:dyDescent="0.55000000000000004">
      <c r="A94" s="5" t="s">
        <v>58</v>
      </c>
      <c r="B94" s="5" t="s">
        <v>16</v>
      </c>
      <c r="C94" s="8">
        <v>2.2799999999999998</v>
      </c>
      <c r="D94" s="8" t="s">
        <v>42</v>
      </c>
      <c r="E94" s="8" t="s">
        <v>32</v>
      </c>
      <c r="F94" s="8" t="s">
        <v>13</v>
      </c>
      <c r="G94" s="8">
        <v>2</v>
      </c>
      <c r="I94" s="28" t="s">
        <v>186</v>
      </c>
      <c r="J94" s="8" t="s">
        <v>53</v>
      </c>
      <c r="K94" s="5">
        <v>2</v>
      </c>
    </row>
    <row r="95" spans="1:18" x14ac:dyDescent="0.55000000000000004">
      <c r="A95" s="5" t="s">
        <v>60</v>
      </c>
      <c r="B95" s="5" t="s">
        <v>60</v>
      </c>
      <c r="C95" s="8">
        <v>2.29</v>
      </c>
      <c r="D95" s="8" t="s">
        <v>42</v>
      </c>
      <c r="E95" s="8" t="s">
        <v>32</v>
      </c>
      <c r="F95" s="8" t="s">
        <v>13</v>
      </c>
      <c r="G95" s="8">
        <v>2</v>
      </c>
      <c r="I95" s="28" t="s">
        <v>187</v>
      </c>
      <c r="J95" s="8" t="s">
        <v>53</v>
      </c>
      <c r="K95" s="5">
        <v>2</v>
      </c>
    </row>
    <row r="96" spans="1:18" s="36" customFormat="1" x14ac:dyDescent="0.55000000000000004">
      <c r="A96" s="36" t="s">
        <v>59</v>
      </c>
      <c r="B96" s="36" t="s">
        <v>16</v>
      </c>
      <c r="C96" s="38">
        <v>1.34</v>
      </c>
      <c r="D96" s="38" t="s">
        <v>73</v>
      </c>
      <c r="E96" s="38" t="s">
        <v>2</v>
      </c>
      <c r="F96" s="38" t="s">
        <v>30</v>
      </c>
      <c r="G96" s="38">
        <v>0.5</v>
      </c>
      <c r="H96" s="39"/>
      <c r="I96" s="46" t="s">
        <v>188</v>
      </c>
      <c r="J96" s="38"/>
      <c r="L96" s="38"/>
      <c r="N96" s="38"/>
      <c r="P96" s="38"/>
      <c r="R96" s="38"/>
    </row>
    <row r="97" spans="1:18" x14ac:dyDescent="0.55000000000000004">
      <c r="A97" s="5" t="s">
        <v>58</v>
      </c>
      <c r="B97" s="5" t="s">
        <v>16</v>
      </c>
      <c r="C97" s="8">
        <v>3.23</v>
      </c>
      <c r="D97" s="8" t="s">
        <v>74</v>
      </c>
      <c r="E97" s="8" t="s">
        <v>31</v>
      </c>
      <c r="F97" s="8" t="s">
        <v>77</v>
      </c>
      <c r="G97" s="8">
        <v>0.5</v>
      </c>
      <c r="I97" s="28" t="s">
        <v>189</v>
      </c>
    </row>
    <row r="98" spans="1:18" x14ac:dyDescent="0.55000000000000004">
      <c r="A98" s="5" t="s">
        <v>60</v>
      </c>
      <c r="B98" s="5" t="s">
        <v>60</v>
      </c>
      <c r="C98" s="8">
        <v>1.35</v>
      </c>
      <c r="D98" s="8" t="s">
        <v>74</v>
      </c>
      <c r="E98" s="8" t="s">
        <v>2</v>
      </c>
      <c r="F98" s="8" t="s">
        <v>13</v>
      </c>
      <c r="G98" s="8">
        <v>1</v>
      </c>
      <c r="I98" s="28" t="s">
        <v>190</v>
      </c>
    </row>
    <row r="99" spans="1:18" x14ac:dyDescent="0.55000000000000004">
      <c r="A99" s="5" t="s">
        <v>60</v>
      </c>
      <c r="B99" s="5" t="s">
        <v>60</v>
      </c>
      <c r="C99" s="8">
        <v>3.24</v>
      </c>
      <c r="D99" s="8" t="s">
        <v>67</v>
      </c>
      <c r="E99" s="8" t="s">
        <v>31</v>
      </c>
      <c r="F99" s="8" t="s">
        <v>77</v>
      </c>
      <c r="G99" s="8">
        <v>1</v>
      </c>
      <c r="I99" s="28" t="s">
        <v>191</v>
      </c>
    </row>
    <row r="100" spans="1:18" x14ac:dyDescent="0.55000000000000004">
      <c r="A100" s="5" t="s">
        <v>60</v>
      </c>
      <c r="B100" s="5" t="s">
        <v>60</v>
      </c>
      <c r="C100" s="8">
        <v>3.25</v>
      </c>
      <c r="D100" s="8" t="s">
        <v>35</v>
      </c>
      <c r="E100" s="8" t="s">
        <v>31</v>
      </c>
      <c r="F100" s="8" t="s">
        <v>86</v>
      </c>
      <c r="G100" s="8">
        <v>1</v>
      </c>
      <c r="I100" s="28" t="s">
        <v>192</v>
      </c>
    </row>
    <row r="101" spans="1:18" x14ac:dyDescent="0.55000000000000004">
      <c r="A101" s="5" t="s">
        <v>58</v>
      </c>
      <c r="B101" s="5" t="s">
        <v>16</v>
      </c>
      <c r="C101" s="8">
        <v>1.36</v>
      </c>
      <c r="D101" s="8" t="s">
        <v>74</v>
      </c>
      <c r="E101" s="8" t="s">
        <v>2</v>
      </c>
      <c r="F101" s="8" t="s">
        <v>13</v>
      </c>
      <c r="G101" s="8">
        <v>1</v>
      </c>
      <c r="I101" s="28" t="s">
        <v>193</v>
      </c>
    </row>
    <row r="102" spans="1:18" x14ac:dyDescent="0.55000000000000004">
      <c r="A102" s="5" t="s">
        <v>60</v>
      </c>
      <c r="B102" s="5" t="s">
        <v>60</v>
      </c>
      <c r="C102" s="8">
        <v>1.37</v>
      </c>
      <c r="D102" s="8" t="s">
        <v>75</v>
      </c>
      <c r="E102" s="8" t="s">
        <v>2</v>
      </c>
      <c r="F102" s="8" t="s">
        <v>83</v>
      </c>
      <c r="G102" s="8">
        <v>32</v>
      </c>
      <c r="I102" s="28" t="s">
        <v>194</v>
      </c>
    </row>
    <row r="103" spans="1:18" x14ac:dyDescent="0.55000000000000004">
      <c r="A103" s="5" t="s">
        <v>60</v>
      </c>
      <c r="B103" s="5" t="s">
        <v>60</v>
      </c>
      <c r="C103" s="30">
        <v>2.2999999999999998</v>
      </c>
      <c r="D103" s="8" t="s">
        <v>75</v>
      </c>
      <c r="E103" s="8" t="s">
        <v>32</v>
      </c>
      <c r="F103" s="8" t="s">
        <v>83</v>
      </c>
      <c r="G103" s="8">
        <v>32</v>
      </c>
      <c r="I103" s="28" t="s">
        <v>195</v>
      </c>
    </row>
    <row r="104" spans="1:18" x14ac:dyDescent="0.55000000000000004">
      <c r="A104" s="5" t="s">
        <v>60</v>
      </c>
      <c r="B104" s="5" t="s">
        <v>60</v>
      </c>
      <c r="C104" s="8">
        <v>3.26</v>
      </c>
      <c r="D104" s="8" t="s">
        <v>75</v>
      </c>
      <c r="E104" s="8" t="s">
        <v>31</v>
      </c>
      <c r="F104" s="8" t="s">
        <v>83</v>
      </c>
      <c r="G104" s="8">
        <v>32</v>
      </c>
      <c r="I104" s="28" t="s">
        <v>196</v>
      </c>
    </row>
    <row r="105" spans="1:18" x14ac:dyDescent="0.55000000000000004">
      <c r="A105" s="5" t="s">
        <v>60</v>
      </c>
      <c r="B105" s="5" t="s">
        <v>60</v>
      </c>
      <c r="C105" s="8">
        <v>2.31</v>
      </c>
      <c r="D105" s="8" t="s">
        <v>76</v>
      </c>
      <c r="E105" s="8" t="s">
        <v>32</v>
      </c>
      <c r="F105" s="8" t="s">
        <v>86</v>
      </c>
      <c r="G105" s="8">
        <v>10</v>
      </c>
      <c r="I105" s="28" t="s">
        <v>197</v>
      </c>
    </row>
    <row r="106" spans="1:18" x14ac:dyDescent="0.55000000000000004">
      <c r="A106" s="5" t="s">
        <v>60</v>
      </c>
      <c r="B106" s="5" t="s">
        <v>60</v>
      </c>
      <c r="C106" s="8">
        <v>3.34</v>
      </c>
      <c r="D106" s="8" t="s">
        <v>83</v>
      </c>
      <c r="E106" s="8" t="s">
        <v>31</v>
      </c>
      <c r="F106" s="8" t="s">
        <v>83</v>
      </c>
      <c r="G106" s="8">
        <v>1</v>
      </c>
      <c r="I106" s="28" t="s">
        <v>198</v>
      </c>
      <c r="J106" s="8" t="s">
        <v>50</v>
      </c>
      <c r="K106" s="5">
        <v>1</v>
      </c>
    </row>
    <row r="107" spans="1:18" x14ac:dyDescent="0.55000000000000004">
      <c r="A107" s="5" t="s">
        <v>60</v>
      </c>
      <c r="B107" s="5" t="s">
        <v>60</v>
      </c>
      <c r="C107" s="8">
        <v>3.35</v>
      </c>
      <c r="D107" s="8" t="s">
        <v>83</v>
      </c>
      <c r="E107" s="8" t="s">
        <v>31</v>
      </c>
      <c r="F107" s="8" t="s">
        <v>83</v>
      </c>
      <c r="G107" s="8">
        <v>1</v>
      </c>
      <c r="I107" s="28" t="s">
        <v>199</v>
      </c>
      <c r="J107" s="8" t="s">
        <v>50</v>
      </c>
      <c r="K107" s="5">
        <v>1</v>
      </c>
    </row>
    <row r="108" spans="1:18" x14ac:dyDescent="0.55000000000000004">
      <c r="A108" s="5" t="s">
        <v>60</v>
      </c>
      <c r="B108" s="5" t="s">
        <v>60</v>
      </c>
      <c r="C108" s="8">
        <v>3.36</v>
      </c>
      <c r="D108" s="8" t="s">
        <v>83</v>
      </c>
      <c r="E108" s="8" t="s">
        <v>31</v>
      </c>
      <c r="F108" s="8" t="s">
        <v>83</v>
      </c>
      <c r="G108" s="8">
        <v>1</v>
      </c>
      <c r="I108" s="28" t="s">
        <v>200</v>
      </c>
      <c r="J108" s="8" t="s">
        <v>50</v>
      </c>
      <c r="K108" s="5">
        <v>1</v>
      </c>
    </row>
    <row r="109" spans="1:18" s="36" customFormat="1" x14ac:dyDescent="0.55000000000000004">
      <c r="A109" s="36" t="s">
        <v>59</v>
      </c>
      <c r="B109" s="36" t="s">
        <v>16</v>
      </c>
      <c r="C109" s="38">
        <v>1.38</v>
      </c>
      <c r="D109" s="38" t="s">
        <v>84</v>
      </c>
      <c r="E109" s="38" t="s">
        <v>2</v>
      </c>
      <c r="F109" s="38" t="s">
        <v>84</v>
      </c>
      <c r="G109" s="38">
        <v>50</v>
      </c>
      <c r="H109" s="39"/>
      <c r="I109" s="46" t="s">
        <v>201</v>
      </c>
      <c r="J109" s="38"/>
      <c r="L109" s="38"/>
      <c r="N109" s="38"/>
      <c r="P109" s="38"/>
      <c r="R109" s="38"/>
    </row>
    <row r="110" spans="1:18" s="36" customFormat="1" x14ac:dyDescent="0.55000000000000004">
      <c r="A110" s="36" t="s">
        <v>59</v>
      </c>
      <c r="B110" s="36" t="s">
        <v>16</v>
      </c>
      <c r="C110" s="38">
        <v>3.37</v>
      </c>
      <c r="D110" s="38" t="s">
        <v>89</v>
      </c>
      <c r="E110" s="38" t="s">
        <v>31</v>
      </c>
      <c r="F110" s="38" t="s">
        <v>85</v>
      </c>
      <c r="G110" s="38">
        <v>30</v>
      </c>
      <c r="H110" s="39"/>
      <c r="I110" s="46" t="s">
        <v>202</v>
      </c>
      <c r="J110" s="38"/>
      <c r="L110" s="38"/>
      <c r="N110" s="38"/>
      <c r="P110" s="38"/>
      <c r="R110" s="38"/>
    </row>
    <row r="111" spans="1:18" s="36" customFormat="1" x14ac:dyDescent="0.55000000000000004">
      <c r="A111" s="36" t="s">
        <v>59</v>
      </c>
      <c r="B111" s="36" t="s">
        <v>16</v>
      </c>
      <c r="C111" s="38">
        <v>3.38</v>
      </c>
      <c r="D111" s="38" t="s">
        <v>89</v>
      </c>
      <c r="E111" s="38" t="s">
        <v>31</v>
      </c>
      <c r="F111" s="38" t="s">
        <v>87</v>
      </c>
      <c r="G111" s="38">
        <v>30</v>
      </c>
      <c r="H111" s="39"/>
      <c r="I111" s="46" t="s">
        <v>203</v>
      </c>
      <c r="J111" s="38"/>
      <c r="L111" s="38"/>
      <c r="N111" s="38"/>
      <c r="P111" s="38"/>
      <c r="R111" s="38"/>
    </row>
    <row r="112" spans="1:18" s="36" customFormat="1" x14ac:dyDescent="0.55000000000000004">
      <c r="A112" s="36" t="s">
        <v>59</v>
      </c>
      <c r="B112" s="36" t="s">
        <v>16</v>
      </c>
      <c r="C112" s="38">
        <v>3.39</v>
      </c>
      <c r="D112" s="38" t="s">
        <v>90</v>
      </c>
      <c r="E112" s="38" t="s">
        <v>31</v>
      </c>
      <c r="F112" s="38" t="s">
        <v>34</v>
      </c>
      <c r="G112" s="38">
        <v>40</v>
      </c>
      <c r="H112" s="39"/>
      <c r="I112" s="46" t="s">
        <v>204</v>
      </c>
      <c r="J112" s="38"/>
      <c r="L112" s="38"/>
      <c r="N112" s="38"/>
      <c r="P112" s="38"/>
      <c r="R112" s="38"/>
    </row>
  </sheetData>
  <autoFilter ref="A1:T112" xr:uid="{7880E8F2-D77D-40FD-A67D-C3CC85A8DFD9}"/>
  <phoneticPr fontId="9" type="noConversion"/>
  <printOptions gridLines="1"/>
  <pageMargins left="0.7" right="0.7" top="0.75" bottom="0.75" header="0.3" footer="0.3"/>
  <pageSetup scale="38" fitToHeight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A9A27-4719-4058-93F3-69727CE0635A}">
  <sheetPr codeName="Sheet4"/>
  <dimension ref="A1:I16"/>
  <sheetViews>
    <sheetView workbookViewId="0">
      <selection activeCell="C23" sqref="C23"/>
    </sheetView>
  </sheetViews>
  <sheetFormatPr defaultRowHeight="14.4" x14ac:dyDescent="0.55000000000000004"/>
  <cols>
    <col min="1" max="1" width="21" bestFit="1" customWidth="1"/>
    <col min="2" max="2" width="10.3671875" bestFit="1" customWidth="1"/>
    <col min="3" max="3" width="10.15625" bestFit="1" customWidth="1"/>
    <col min="4" max="4" width="6.20703125" bestFit="1" customWidth="1"/>
    <col min="5" max="5" width="5.41796875" bestFit="1" customWidth="1"/>
    <col min="6" max="6" width="5.47265625" bestFit="1" customWidth="1"/>
    <col min="7" max="7" width="9.83984375" bestFit="1" customWidth="1"/>
    <col min="8" max="8" width="11.05078125" bestFit="1" customWidth="1"/>
    <col min="9" max="9" width="11.68359375" bestFit="1" customWidth="1"/>
  </cols>
  <sheetData>
    <row r="1" spans="1:9" s="16" customFormat="1" x14ac:dyDescent="0.55000000000000004">
      <c r="A1" s="16" t="s">
        <v>24</v>
      </c>
      <c r="B1" s="16" t="s">
        <v>16</v>
      </c>
      <c r="C1" s="17" t="s">
        <v>18</v>
      </c>
      <c r="D1" s="16" t="s">
        <v>22</v>
      </c>
      <c r="E1" s="16" t="s">
        <v>23</v>
      </c>
      <c r="F1" s="16" t="s">
        <v>3</v>
      </c>
      <c r="G1" s="16" t="s">
        <v>25</v>
      </c>
      <c r="H1" s="16" t="s">
        <v>21</v>
      </c>
      <c r="I1" s="16" t="s">
        <v>28</v>
      </c>
    </row>
    <row r="2" spans="1:9" s="20" customFormat="1" x14ac:dyDescent="0.55000000000000004">
      <c r="A2" s="20" t="s">
        <v>29</v>
      </c>
      <c r="B2" s="21">
        <v>43749</v>
      </c>
      <c r="C2" s="18">
        <v>43945</v>
      </c>
      <c r="D2" s="20">
        <v>28</v>
      </c>
      <c r="E2" s="20">
        <v>0</v>
      </c>
      <c r="F2" s="20">
        <v>0</v>
      </c>
      <c r="G2" s="19"/>
      <c r="I2" s="20">
        <f>D2*7</f>
        <v>196</v>
      </c>
    </row>
    <row r="3" spans="1:9" s="32" customFormat="1" x14ac:dyDescent="0.55000000000000004">
      <c r="A3" s="32" t="s">
        <v>33</v>
      </c>
      <c r="B3" s="33">
        <v>43756</v>
      </c>
      <c r="C3" s="34">
        <v>43784</v>
      </c>
      <c r="D3" s="32">
        <v>4</v>
      </c>
      <c r="E3" s="32">
        <v>15</v>
      </c>
      <c r="F3" s="32">
        <v>15</v>
      </c>
      <c r="G3" s="35">
        <f t="shared" ref="G3:G16" si="0">E3/F3</f>
        <v>1</v>
      </c>
      <c r="H3" s="36">
        <f>F3/D3</f>
        <v>3.75</v>
      </c>
      <c r="I3" s="32">
        <f t="shared" ref="I3:I16" si="1">D3*7</f>
        <v>28</v>
      </c>
    </row>
    <row r="4" spans="1:9" s="36" customFormat="1" x14ac:dyDescent="0.55000000000000004">
      <c r="A4" s="36" t="s">
        <v>13</v>
      </c>
      <c r="B4" s="43">
        <v>43756</v>
      </c>
      <c r="C4" s="34">
        <v>43826</v>
      </c>
      <c r="D4" s="36">
        <v>10</v>
      </c>
      <c r="E4" s="36">
        <v>66.5</v>
      </c>
      <c r="F4" s="36">
        <v>80.5</v>
      </c>
      <c r="G4" s="35">
        <f t="shared" si="0"/>
        <v>0.82608695652173914</v>
      </c>
      <c r="H4" s="36">
        <f>F4/D4</f>
        <v>8.0500000000000007</v>
      </c>
      <c r="I4" s="32">
        <f t="shared" si="1"/>
        <v>70</v>
      </c>
    </row>
    <row r="5" spans="1:9" s="36" customFormat="1" x14ac:dyDescent="0.55000000000000004">
      <c r="A5" s="36" t="s">
        <v>34</v>
      </c>
      <c r="B5" s="34">
        <v>43826</v>
      </c>
      <c r="C5" s="34">
        <v>43847</v>
      </c>
      <c r="D5" s="36">
        <v>3</v>
      </c>
      <c r="E5" s="36">
        <v>1</v>
      </c>
      <c r="F5" s="36">
        <v>41</v>
      </c>
      <c r="G5" s="35">
        <f t="shared" si="0"/>
        <v>2.4390243902439025E-2</v>
      </c>
      <c r="H5" s="36">
        <f t="shared" ref="H5:H16" si="2">F5/D5</f>
        <v>13.666666666666666</v>
      </c>
      <c r="I5" s="32">
        <f t="shared" si="1"/>
        <v>21</v>
      </c>
    </row>
    <row r="6" spans="1:9" s="36" customFormat="1" x14ac:dyDescent="0.55000000000000004">
      <c r="A6" s="36" t="s">
        <v>86</v>
      </c>
      <c r="B6" s="34">
        <v>43770</v>
      </c>
      <c r="C6" s="34">
        <v>43840</v>
      </c>
      <c r="D6" s="36">
        <v>10</v>
      </c>
      <c r="E6" s="36">
        <v>29.5</v>
      </c>
      <c r="F6" s="36">
        <v>71.5</v>
      </c>
      <c r="G6" s="35">
        <f t="shared" si="0"/>
        <v>0.41258741258741261</v>
      </c>
      <c r="H6" s="36">
        <f t="shared" si="2"/>
        <v>7.15</v>
      </c>
      <c r="I6" s="32">
        <f t="shared" si="1"/>
        <v>70</v>
      </c>
    </row>
    <row r="7" spans="1:9" s="36" customFormat="1" x14ac:dyDescent="0.55000000000000004">
      <c r="A7" s="36" t="s">
        <v>83</v>
      </c>
      <c r="B7" s="34">
        <v>43784</v>
      </c>
      <c r="C7" s="34">
        <v>43805</v>
      </c>
      <c r="D7" s="36">
        <v>3</v>
      </c>
      <c r="E7" s="36">
        <v>100.5</v>
      </c>
      <c r="F7" s="36">
        <v>100.5</v>
      </c>
      <c r="G7" s="35">
        <f t="shared" si="0"/>
        <v>1</v>
      </c>
      <c r="H7" s="36">
        <f t="shared" si="2"/>
        <v>33.5</v>
      </c>
      <c r="I7" s="32">
        <f t="shared" si="1"/>
        <v>21</v>
      </c>
    </row>
    <row r="8" spans="1:9" s="36" customFormat="1" x14ac:dyDescent="0.55000000000000004">
      <c r="A8" s="36" t="s">
        <v>84</v>
      </c>
      <c r="B8" s="43">
        <v>43805</v>
      </c>
      <c r="C8" s="34">
        <v>43840</v>
      </c>
      <c r="D8" s="36">
        <v>5</v>
      </c>
      <c r="E8" s="36">
        <v>0</v>
      </c>
      <c r="F8" s="36">
        <v>50</v>
      </c>
      <c r="G8" s="35">
        <f t="shared" si="0"/>
        <v>0</v>
      </c>
      <c r="H8" s="36">
        <f t="shared" si="2"/>
        <v>10</v>
      </c>
      <c r="I8" s="32">
        <f t="shared" si="1"/>
        <v>35</v>
      </c>
    </row>
    <row r="9" spans="1:9" s="36" customFormat="1" x14ac:dyDescent="0.55000000000000004">
      <c r="A9" s="36" t="s">
        <v>85</v>
      </c>
      <c r="B9" s="43">
        <v>43805</v>
      </c>
      <c r="C9" s="34">
        <v>43840</v>
      </c>
      <c r="D9" s="36">
        <v>5</v>
      </c>
      <c r="E9" s="36">
        <v>0</v>
      </c>
      <c r="F9" s="36">
        <v>30</v>
      </c>
      <c r="G9" s="35">
        <f t="shared" si="0"/>
        <v>0</v>
      </c>
      <c r="H9" s="36">
        <f t="shared" si="2"/>
        <v>6</v>
      </c>
      <c r="I9" s="32">
        <f t="shared" si="1"/>
        <v>35</v>
      </c>
    </row>
    <row r="10" spans="1:9" s="36" customFormat="1" x14ac:dyDescent="0.55000000000000004">
      <c r="A10" s="36" t="s">
        <v>87</v>
      </c>
      <c r="B10" s="43">
        <v>43840</v>
      </c>
      <c r="C10" s="34">
        <v>43896</v>
      </c>
      <c r="D10" s="36">
        <v>8</v>
      </c>
      <c r="E10" s="36">
        <v>0</v>
      </c>
      <c r="F10" s="36">
        <v>30</v>
      </c>
      <c r="G10" s="35">
        <f t="shared" si="0"/>
        <v>0</v>
      </c>
      <c r="H10" s="36">
        <f t="shared" si="2"/>
        <v>3.75</v>
      </c>
      <c r="I10" s="32">
        <f t="shared" si="1"/>
        <v>56</v>
      </c>
    </row>
    <row r="11" spans="1:9" s="36" customFormat="1" x14ac:dyDescent="0.55000000000000004">
      <c r="A11" s="36" t="s">
        <v>36</v>
      </c>
      <c r="B11" s="44">
        <v>43840</v>
      </c>
      <c r="C11" s="34">
        <v>43847</v>
      </c>
      <c r="D11" s="36">
        <v>1</v>
      </c>
      <c r="E11" s="36">
        <v>0</v>
      </c>
      <c r="F11" s="36">
        <v>98.5</v>
      </c>
      <c r="G11" s="35">
        <f t="shared" si="0"/>
        <v>0</v>
      </c>
      <c r="H11" s="36">
        <f t="shared" si="2"/>
        <v>98.5</v>
      </c>
      <c r="I11" s="32">
        <f t="shared" si="1"/>
        <v>7</v>
      </c>
    </row>
    <row r="12" spans="1:9" s="36" customFormat="1" x14ac:dyDescent="0.55000000000000004">
      <c r="A12" s="36" t="s">
        <v>40</v>
      </c>
      <c r="B12" s="34">
        <v>43833</v>
      </c>
      <c r="C12" s="34">
        <v>43868</v>
      </c>
      <c r="D12" s="36">
        <v>5</v>
      </c>
      <c r="E12" s="36">
        <v>0</v>
      </c>
      <c r="F12" s="36">
        <v>100</v>
      </c>
      <c r="G12" s="35">
        <f t="shared" si="0"/>
        <v>0</v>
      </c>
      <c r="H12" s="36">
        <f t="shared" si="2"/>
        <v>20</v>
      </c>
      <c r="I12" s="32">
        <f t="shared" si="1"/>
        <v>35</v>
      </c>
    </row>
    <row r="13" spans="1:9" s="36" customFormat="1" x14ac:dyDescent="0.55000000000000004">
      <c r="A13" s="36" t="s">
        <v>81</v>
      </c>
      <c r="B13" s="44">
        <v>43861</v>
      </c>
      <c r="C13" s="34">
        <v>43868</v>
      </c>
      <c r="D13" s="36">
        <v>1</v>
      </c>
      <c r="E13" s="36">
        <v>0</v>
      </c>
      <c r="F13" s="36">
        <v>80</v>
      </c>
      <c r="G13" s="35">
        <f t="shared" si="0"/>
        <v>0</v>
      </c>
      <c r="H13" s="36">
        <f t="shared" si="2"/>
        <v>80</v>
      </c>
      <c r="I13" s="32">
        <f t="shared" si="1"/>
        <v>7</v>
      </c>
    </row>
    <row r="14" spans="1:9" s="36" customFormat="1" x14ac:dyDescent="0.55000000000000004">
      <c r="A14" s="36" t="s">
        <v>38</v>
      </c>
      <c r="B14" s="44">
        <v>43868</v>
      </c>
      <c r="C14" s="34">
        <v>43875</v>
      </c>
      <c r="D14" s="36">
        <v>1</v>
      </c>
      <c r="E14" s="36">
        <v>0</v>
      </c>
      <c r="F14" s="36">
        <v>5</v>
      </c>
      <c r="G14" s="35">
        <f t="shared" si="0"/>
        <v>0</v>
      </c>
      <c r="H14" s="36">
        <f t="shared" si="2"/>
        <v>5</v>
      </c>
      <c r="I14" s="32">
        <f t="shared" si="1"/>
        <v>7</v>
      </c>
    </row>
    <row r="15" spans="1:9" s="5" customFormat="1" x14ac:dyDescent="0.55000000000000004">
      <c r="A15" s="5" t="s">
        <v>39</v>
      </c>
      <c r="B15" s="23">
        <v>43875</v>
      </c>
      <c r="C15" s="42">
        <v>43931</v>
      </c>
      <c r="D15" s="5">
        <v>8</v>
      </c>
      <c r="E15" s="5">
        <v>0</v>
      </c>
      <c r="F15" s="5">
        <v>2</v>
      </c>
      <c r="G15" s="19">
        <f t="shared" si="0"/>
        <v>0</v>
      </c>
      <c r="H15" s="5">
        <f t="shared" si="2"/>
        <v>0.25</v>
      </c>
      <c r="I15" s="20">
        <f t="shared" si="1"/>
        <v>56</v>
      </c>
    </row>
    <row r="16" spans="1:9" s="5" customFormat="1" x14ac:dyDescent="0.55000000000000004">
      <c r="A16" s="5" t="s">
        <v>70</v>
      </c>
      <c r="B16" s="23">
        <v>43931</v>
      </c>
      <c r="C16" s="18">
        <v>43938</v>
      </c>
      <c r="D16" s="5">
        <v>1</v>
      </c>
      <c r="E16" s="5">
        <v>0</v>
      </c>
      <c r="F16" s="5">
        <v>2</v>
      </c>
      <c r="G16" s="19">
        <f t="shared" si="0"/>
        <v>0</v>
      </c>
      <c r="H16" s="5">
        <f t="shared" si="2"/>
        <v>2</v>
      </c>
      <c r="I16" s="20">
        <f t="shared" si="1"/>
        <v>7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3455C-EF0E-4C54-86E4-1C5176EAFAC8}">
  <sheetPr codeName="Sheet5">
    <pageSetUpPr fitToPage="1"/>
  </sheetPr>
  <dimension ref="A1:HN21"/>
  <sheetViews>
    <sheetView workbookViewId="0">
      <selection activeCell="K18" sqref="K18"/>
    </sheetView>
  </sheetViews>
  <sheetFormatPr defaultRowHeight="14.4" x14ac:dyDescent="0.55000000000000004"/>
  <sheetData>
    <row r="1" spans="1:222" s="7" customFormat="1" x14ac:dyDescent="0.55000000000000004">
      <c r="A1" s="7">
        <v>0</v>
      </c>
      <c r="B1" s="7">
        <v>0</v>
      </c>
      <c r="C1" s="7">
        <v>0</v>
      </c>
      <c r="D1" s="7">
        <v>0</v>
      </c>
      <c r="E1" s="7">
        <v>0</v>
      </c>
      <c r="F1" s="7">
        <v>0</v>
      </c>
      <c r="G1" s="7">
        <v>0</v>
      </c>
      <c r="H1" s="7">
        <v>0</v>
      </c>
      <c r="I1" s="7">
        <v>0</v>
      </c>
      <c r="J1" s="7">
        <v>0</v>
      </c>
      <c r="K1" s="7">
        <v>1.1000000000000001</v>
      </c>
      <c r="L1" s="7">
        <v>5</v>
      </c>
      <c r="M1" s="7">
        <v>1.2</v>
      </c>
      <c r="N1" s="7">
        <v>4</v>
      </c>
      <c r="O1" s="7">
        <v>1.3</v>
      </c>
      <c r="P1" s="7">
        <v>4</v>
      </c>
      <c r="Q1" s="7">
        <v>1.4</v>
      </c>
      <c r="R1" s="7">
        <v>4</v>
      </c>
      <c r="S1" s="7">
        <v>1.5</v>
      </c>
      <c r="T1" s="7">
        <v>4</v>
      </c>
      <c r="U1" s="7">
        <v>1.6</v>
      </c>
      <c r="V1" s="7">
        <v>1</v>
      </c>
      <c r="W1" s="7">
        <v>2.1</v>
      </c>
      <c r="X1" s="7">
        <v>5</v>
      </c>
      <c r="Y1" s="7">
        <v>2.2000000000000002</v>
      </c>
      <c r="Z1" s="7">
        <v>1</v>
      </c>
      <c r="AA1" s="7">
        <v>2.2999999999999998</v>
      </c>
      <c r="AB1" s="7">
        <v>1</v>
      </c>
      <c r="AC1" s="7">
        <v>2.4</v>
      </c>
      <c r="AD1" s="7">
        <v>6</v>
      </c>
      <c r="AE1" s="7">
        <v>2.5</v>
      </c>
      <c r="AF1" s="7">
        <v>2</v>
      </c>
      <c r="AG1" s="7">
        <v>2.6</v>
      </c>
      <c r="AH1" s="7">
        <v>2</v>
      </c>
      <c r="AI1" s="7">
        <v>2.7</v>
      </c>
      <c r="AJ1" s="7">
        <v>1</v>
      </c>
      <c r="AK1" s="7">
        <v>2.8</v>
      </c>
      <c r="AL1" s="7">
        <v>2</v>
      </c>
      <c r="AM1" s="7">
        <v>2.9</v>
      </c>
      <c r="AN1" s="7">
        <v>1</v>
      </c>
      <c r="AO1" s="7">
        <v>3.1</v>
      </c>
      <c r="AP1" s="7">
        <v>2</v>
      </c>
      <c r="AQ1" s="7">
        <v>3.2</v>
      </c>
      <c r="AR1" s="7">
        <v>6</v>
      </c>
      <c r="AS1" s="7">
        <v>3.3</v>
      </c>
      <c r="AT1" s="7">
        <v>2</v>
      </c>
      <c r="AU1" s="7">
        <v>3.4</v>
      </c>
      <c r="AV1" s="7">
        <v>7</v>
      </c>
      <c r="AW1" s="7">
        <v>3.5</v>
      </c>
      <c r="AX1" s="7">
        <v>4</v>
      </c>
      <c r="AY1" s="7">
        <v>1.7</v>
      </c>
      <c r="AZ1" s="7">
        <v>4</v>
      </c>
      <c r="BA1" s="7">
        <v>1.8</v>
      </c>
      <c r="BB1" s="7">
        <v>4</v>
      </c>
      <c r="BC1" s="7">
        <v>1.9</v>
      </c>
      <c r="BD1" s="7">
        <v>4</v>
      </c>
      <c r="BE1" s="7">
        <v>1.1000000000000001</v>
      </c>
      <c r="BF1" s="7">
        <v>1</v>
      </c>
      <c r="BG1" s="7">
        <v>3.6</v>
      </c>
      <c r="BH1" s="7">
        <v>0.5</v>
      </c>
      <c r="BI1" s="7">
        <v>3.7</v>
      </c>
      <c r="BJ1" s="7">
        <v>0.5</v>
      </c>
      <c r="BK1" s="7">
        <v>3.8</v>
      </c>
      <c r="BL1" s="7">
        <v>1</v>
      </c>
      <c r="BM1" s="7">
        <v>3.9</v>
      </c>
      <c r="BN1" s="7">
        <v>0.5</v>
      </c>
      <c r="BO1" s="7">
        <v>2.1</v>
      </c>
      <c r="BP1" s="7">
        <v>0.5</v>
      </c>
      <c r="BQ1" s="7">
        <v>2.11</v>
      </c>
      <c r="BR1" s="7">
        <v>1</v>
      </c>
      <c r="BS1" s="7">
        <v>2.12</v>
      </c>
      <c r="BT1" s="7">
        <v>0.5</v>
      </c>
      <c r="BU1" s="7">
        <v>2.13</v>
      </c>
      <c r="BV1" s="7">
        <v>0.5</v>
      </c>
      <c r="BW1" s="7">
        <v>3.1</v>
      </c>
      <c r="BX1" s="7">
        <v>1</v>
      </c>
      <c r="BY1" s="7">
        <v>2.14</v>
      </c>
      <c r="BZ1" s="7">
        <v>2</v>
      </c>
      <c r="CA1" s="7">
        <v>2.15</v>
      </c>
      <c r="CB1" s="7">
        <v>1</v>
      </c>
      <c r="CC1" s="7">
        <v>2.16</v>
      </c>
      <c r="CD1" s="7">
        <v>1</v>
      </c>
      <c r="CE1" s="7">
        <v>2.17</v>
      </c>
      <c r="CF1" s="7">
        <v>1</v>
      </c>
      <c r="CG1" s="7">
        <v>2.23</v>
      </c>
      <c r="CH1" s="7">
        <v>1</v>
      </c>
      <c r="CI1" s="7">
        <v>3.11</v>
      </c>
      <c r="CJ1" s="7">
        <v>1</v>
      </c>
      <c r="CK1" s="7">
        <v>3.12</v>
      </c>
      <c r="CL1" s="7">
        <v>3</v>
      </c>
      <c r="CM1" s="7">
        <v>1.1100000000000001</v>
      </c>
      <c r="CN1" s="7">
        <v>1</v>
      </c>
      <c r="CO1" s="7">
        <v>1.1200000000000001</v>
      </c>
      <c r="CP1" s="7">
        <v>1</v>
      </c>
      <c r="CQ1" s="7">
        <v>2.1800000000000002</v>
      </c>
      <c r="CR1" s="7">
        <v>2</v>
      </c>
      <c r="CS1" s="7">
        <v>2.19</v>
      </c>
      <c r="CT1" s="7">
        <v>2</v>
      </c>
      <c r="CU1" s="7">
        <v>2.2000000000000002</v>
      </c>
      <c r="CV1" s="7">
        <v>2</v>
      </c>
      <c r="CW1" s="7">
        <v>2.21</v>
      </c>
      <c r="CX1" s="7">
        <v>2</v>
      </c>
      <c r="CY1" s="7">
        <v>2.2200000000000002</v>
      </c>
      <c r="CZ1" s="7">
        <v>4</v>
      </c>
      <c r="DA1" s="7">
        <v>1.1299999999999999</v>
      </c>
      <c r="DB1" s="7">
        <v>30</v>
      </c>
      <c r="DC1" s="7">
        <v>1.1399999999999999</v>
      </c>
      <c r="DD1" s="7">
        <v>30</v>
      </c>
      <c r="DE1" s="7">
        <v>1.1599999999999999</v>
      </c>
      <c r="DF1" s="7">
        <v>30</v>
      </c>
      <c r="DG1" s="7">
        <v>1.17</v>
      </c>
      <c r="DH1" s="7">
        <v>30</v>
      </c>
      <c r="DI1" s="7">
        <v>1.1499999999999999</v>
      </c>
      <c r="DJ1" s="7">
        <v>30</v>
      </c>
      <c r="DK1" s="7">
        <v>1.18</v>
      </c>
      <c r="DL1" s="7">
        <v>15</v>
      </c>
      <c r="DM1" s="7">
        <v>3.13</v>
      </c>
      <c r="DN1" s="7">
        <v>1</v>
      </c>
      <c r="DO1" s="7">
        <v>1.19</v>
      </c>
      <c r="DP1" s="7">
        <v>0.5</v>
      </c>
      <c r="DQ1" s="7">
        <v>3.14</v>
      </c>
      <c r="DR1" s="7">
        <v>40</v>
      </c>
      <c r="DS1" s="7">
        <v>2.23</v>
      </c>
      <c r="DT1" s="7">
        <v>40</v>
      </c>
      <c r="DU1" s="7">
        <v>3.15</v>
      </c>
      <c r="DV1" s="7">
        <v>5</v>
      </c>
      <c r="DW1" s="7">
        <v>3.16</v>
      </c>
      <c r="DX1" s="7">
        <v>5</v>
      </c>
      <c r="DY1" s="7">
        <v>2.2400000000000002</v>
      </c>
      <c r="DZ1" s="7">
        <v>100</v>
      </c>
      <c r="EA1" s="7">
        <v>0.1</v>
      </c>
      <c r="EB1" s="7">
        <v>2</v>
      </c>
      <c r="EC1" s="7">
        <v>0.2</v>
      </c>
      <c r="ED1" s="7">
        <v>1.5</v>
      </c>
      <c r="EE1" s="7">
        <v>1.2</v>
      </c>
      <c r="EF1" s="7">
        <v>5</v>
      </c>
      <c r="EG1" s="7">
        <v>1.21</v>
      </c>
      <c r="EH1" s="7">
        <v>5</v>
      </c>
      <c r="EI1" s="7">
        <v>0.3</v>
      </c>
      <c r="EJ1" s="7">
        <v>2</v>
      </c>
      <c r="EK1" s="7">
        <v>0.4</v>
      </c>
      <c r="EL1" s="7">
        <v>2</v>
      </c>
      <c r="EM1" s="7">
        <v>2.25</v>
      </c>
      <c r="EN1" s="7">
        <v>20</v>
      </c>
      <c r="EO1" s="7">
        <v>3.17</v>
      </c>
      <c r="EP1" s="7">
        <v>20</v>
      </c>
      <c r="EQ1" s="7">
        <v>1.22</v>
      </c>
      <c r="ER1" s="7">
        <v>1</v>
      </c>
      <c r="ES1" s="7">
        <v>1.23</v>
      </c>
      <c r="ET1" s="7">
        <v>1</v>
      </c>
      <c r="EU1" s="7">
        <v>1.24</v>
      </c>
      <c r="EV1" s="7">
        <v>3</v>
      </c>
      <c r="EW1" s="7">
        <v>3.18</v>
      </c>
      <c r="EX1" s="7">
        <v>1</v>
      </c>
      <c r="EY1" s="7">
        <v>1.25</v>
      </c>
      <c r="EZ1" s="7">
        <v>2</v>
      </c>
      <c r="FA1" s="7">
        <v>1.26</v>
      </c>
      <c r="FB1" s="7">
        <v>2</v>
      </c>
      <c r="FC1" s="7">
        <v>1.27</v>
      </c>
      <c r="FD1" s="7">
        <v>0.5</v>
      </c>
      <c r="FE1" s="7">
        <v>2.2599999999999998</v>
      </c>
      <c r="FF1" s="7">
        <v>2</v>
      </c>
      <c r="FG1" s="7">
        <v>3.19</v>
      </c>
      <c r="FH1" s="7">
        <v>1</v>
      </c>
      <c r="FI1" s="7">
        <v>3.2</v>
      </c>
      <c r="FJ1" s="7">
        <v>0.5</v>
      </c>
      <c r="FK1" s="7">
        <v>3.21</v>
      </c>
      <c r="FL1" s="7">
        <v>0.5</v>
      </c>
      <c r="FM1" s="7">
        <v>3.22</v>
      </c>
      <c r="FN1" s="7">
        <v>0.5</v>
      </c>
      <c r="FO1" s="7">
        <v>1.28</v>
      </c>
      <c r="FP1" s="7">
        <v>1</v>
      </c>
      <c r="FQ1" s="7">
        <v>1.29</v>
      </c>
      <c r="FR1" s="7">
        <v>6.5</v>
      </c>
      <c r="FS1" s="7">
        <v>1.3</v>
      </c>
      <c r="FT1" s="7">
        <v>0.5</v>
      </c>
      <c r="FU1" s="7">
        <v>1.31</v>
      </c>
      <c r="FV1" s="7">
        <v>1</v>
      </c>
      <c r="FW1" s="7">
        <v>1.32</v>
      </c>
      <c r="FX1" s="7">
        <v>2</v>
      </c>
      <c r="FY1" s="7">
        <v>1.33</v>
      </c>
      <c r="FZ1" s="7">
        <v>1</v>
      </c>
      <c r="GA1" s="7">
        <v>2.27</v>
      </c>
      <c r="GB1" s="7">
        <v>1</v>
      </c>
      <c r="GC1" s="7">
        <v>2.2799999999999998</v>
      </c>
      <c r="GD1" s="7">
        <v>2</v>
      </c>
      <c r="GE1" s="7">
        <v>2.29</v>
      </c>
      <c r="GF1" s="7">
        <v>2</v>
      </c>
      <c r="GG1" s="7">
        <v>1.34</v>
      </c>
      <c r="GH1" s="7">
        <v>0.5</v>
      </c>
      <c r="GI1" s="7">
        <v>3.23</v>
      </c>
      <c r="GJ1" s="7">
        <v>0.5</v>
      </c>
      <c r="GK1" s="7">
        <v>1.35</v>
      </c>
      <c r="GL1" s="7">
        <v>1</v>
      </c>
      <c r="GM1" s="7">
        <v>3.24</v>
      </c>
      <c r="GN1" s="7">
        <v>1</v>
      </c>
      <c r="GO1" s="7">
        <v>3.25</v>
      </c>
      <c r="GP1" s="7">
        <v>1</v>
      </c>
      <c r="GQ1" s="7">
        <v>1.36</v>
      </c>
      <c r="GR1" s="7">
        <v>1</v>
      </c>
      <c r="GS1" s="7">
        <v>1.37</v>
      </c>
      <c r="GT1" s="7">
        <v>32</v>
      </c>
      <c r="GU1" s="7">
        <v>2.2999999999999998</v>
      </c>
      <c r="GV1" s="7">
        <v>32</v>
      </c>
      <c r="GW1" s="7">
        <v>3.26</v>
      </c>
      <c r="GX1" s="7">
        <v>32</v>
      </c>
      <c r="GY1" s="7">
        <v>2.31</v>
      </c>
      <c r="GZ1" s="7">
        <v>10</v>
      </c>
      <c r="HA1" s="7">
        <v>3.34</v>
      </c>
      <c r="HB1" s="7">
        <v>1</v>
      </c>
      <c r="HC1" s="7">
        <v>3.35</v>
      </c>
      <c r="HD1" s="7">
        <v>1</v>
      </c>
      <c r="HE1" s="7">
        <v>3.36</v>
      </c>
      <c r="HF1" s="7">
        <v>1</v>
      </c>
      <c r="HG1" s="7">
        <v>1.38</v>
      </c>
      <c r="HH1" s="7">
        <v>50</v>
      </c>
      <c r="HI1" s="7">
        <v>3.37</v>
      </c>
      <c r="HJ1" s="7">
        <v>30</v>
      </c>
      <c r="HK1" s="7">
        <v>3.38</v>
      </c>
      <c r="HL1" s="7">
        <v>30</v>
      </c>
      <c r="HM1" s="7">
        <v>3.39</v>
      </c>
      <c r="HN1" s="7">
        <v>40</v>
      </c>
    </row>
    <row r="20" spans="3:3" x14ac:dyDescent="0.55000000000000004">
      <c r="C20" s="6"/>
    </row>
    <row r="21" spans="3:3" x14ac:dyDescent="0.55000000000000004">
      <c r="C21" s="6"/>
    </row>
  </sheetData>
  <pageMargins left="0.7" right="0.7" top="0.75" bottom="0.75" header="0.3" footer="0.3"/>
  <pageSetup scale="58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45453-6B21-4997-850A-4D0930C1EB71}">
  <sheetPr codeName="Sheet6"/>
  <dimension ref="A1:C32"/>
  <sheetViews>
    <sheetView zoomScale="92" workbookViewId="0">
      <selection activeCell="B6" sqref="B6"/>
    </sheetView>
  </sheetViews>
  <sheetFormatPr defaultRowHeight="14.4" x14ac:dyDescent="0.55000000000000004"/>
  <cols>
    <col min="1" max="1" width="5.20703125" bestFit="1" customWidth="1"/>
    <col min="2" max="3" width="10.3671875" bestFit="1" customWidth="1"/>
  </cols>
  <sheetData>
    <row r="1" spans="1:3" s="1" customFormat="1" x14ac:dyDescent="0.55000000000000004">
      <c r="A1" s="1" t="s">
        <v>26</v>
      </c>
      <c r="B1" s="1" t="s">
        <v>16</v>
      </c>
      <c r="C1" s="1" t="s">
        <v>27</v>
      </c>
    </row>
    <row r="2" spans="1:3" s="12" customFormat="1" x14ac:dyDescent="0.55000000000000004">
      <c r="A2" s="13">
        <v>-1</v>
      </c>
      <c r="B2" s="11">
        <v>43741</v>
      </c>
      <c r="C2" s="11">
        <v>43749</v>
      </c>
    </row>
    <row r="3" spans="1:3" s="1" customFormat="1" x14ac:dyDescent="0.55000000000000004">
      <c r="A3" s="13">
        <v>0</v>
      </c>
      <c r="B3" s="11">
        <v>43749</v>
      </c>
      <c r="C3" s="11">
        <v>43756</v>
      </c>
    </row>
    <row r="4" spans="1:3" x14ac:dyDescent="0.55000000000000004">
      <c r="A4">
        <v>1</v>
      </c>
      <c r="B4" s="10">
        <v>43756</v>
      </c>
      <c r="C4" s="10">
        <v>43763</v>
      </c>
    </row>
    <row r="5" spans="1:3" x14ac:dyDescent="0.55000000000000004">
      <c r="A5">
        <v>2</v>
      </c>
      <c r="B5" s="10">
        <v>43763</v>
      </c>
      <c r="C5" s="10">
        <v>43770</v>
      </c>
    </row>
    <row r="6" spans="1:3" x14ac:dyDescent="0.55000000000000004">
      <c r="A6">
        <v>3</v>
      </c>
      <c r="B6" s="10">
        <v>43770</v>
      </c>
      <c r="C6" s="10">
        <v>43777</v>
      </c>
    </row>
    <row r="7" spans="1:3" x14ac:dyDescent="0.55000000000000004">
      <c r="A7">
        <v>4</v>
      </c>
      <c r="B7" s="10">
        <v>43777</v>
      </c>
      <c r="C7" s="10">
        <v>43784</v>
      </c>
    </row>
    <row r="8" spans="1:3" x14ac:dyDescent="0.55000000000000004">
      <c r="A8">
        <v>5</v>
      </c>
      <c r="B8" s="10">
        <v>43784</v>
      </c>
      <c r="C8" s="10">
        <v>43791</v>
      </c>
    </row>
    <row r="9" spans="1:3" x14ac:dyDescent="0.55000000000000004">
      <c r="A9">
        <v>6</v>
      </c>
      <c r="B9" s="10">
        <v>43791</v>
      </c>
      <c r="C9" s="10">
        <v>43798</v>
      </c>
    </row>
    <row r="10" spans="1:3" x14ac:dyDescent="0.55000000000000004">
      <c r="A10">
        <v>7</v>
      </c>
      <c r="B10" s="10">
        <v>43798</v>
      </c>
      <c r="C10" s="10">
        <v>43805</v>
      </c>
    </row>
    <row r="11" spans="1:3" x14ac:dyDescent="0.55000000000000004">
      <c r="A11">
        <v>8</v>
      </c>
      <c r="B11" s="10">
        <v>43805</v>
      </c>
      <c r="C11" s="10">
        <v>43812</v>
      </c>
    </row>
    <row r="12" spans="1:3" x14ac:dyDescent="0.55000000000000004">
      <c r="A12">
        <v>9</v>
      </c>
      <c r="B12" s="10">
        <v>43812</v>
      </c>
      <c r="C12" s="10">
        <v>43819</v>
      </c>
    </row>
    <row r="13" spans="1:3" x14ac:dyDescent="0.55000000000000004">
      <c r="A13">
        <v>10</v>
      </c>
      <c r="B13" s="10">
        <v>43819</v>
      </c>
      <c r="C13" s="10">
        <v>43826</v>
      </c>
    </row>
    <row r="14" spans="1:3" x14ac:dyDescent="0.55000000000000004">
      <c r="A14">
        <v>11</v>
      </c>
      <c r="B14" s="10">
        <v>43826</v>
      </c>
      <c r="C14" s="10">
        <v>43833</v>
      </c>
    </row>
    <row r="15" spans="1:3" x14ac:dyDescent="0.55000000000000004">
      <c r="A15">
        <v>12</v>
      </c>
      <c r="B15" s="10">
        <v>43833</v>
      </c>
      <c r="C15" s="10">
        <v>43840</v>
      </c>
    </row>
    <row r="16" spans="1:3" x14ac:dyDescent="0.55000000000000004">
      <c r="A16">
        <v>13</v>
      </c>
      <c r="B16" s="10">
        <v>43840</v>
      </c>
      <c r="C16" s="10">
        <v>43847</v>
      </c>
    </row>
    <row r="17" spans="1:3" x14ac:dyDescent="0.55000000000000004">
      <c r="A17">
        <v>14</v>
      </c>
      <c r="B17" s="10">
        <v>43847</v>
      </c>
      <c r="C17" s="10">
        <v>43854</v>
      </c>
    </row>
    <row r="18" spans="1:3" x14ac:dyDescent="0.55000000000000004">
      <c r="A18">
        <v>15</v>
      </c>
      <c r="B18" s="10">
        <v>43854</v>
      </c>
      <c r="C18" s="10">
        <v>43861</v>
      </c>
    </row>
    <row r="19" spans="1:3" x14ac:dyDescent="0.55000000000000004">
      <c r="A19">
        <v>16</v>
      </c>
      <c r="B19" s="10">
        <v>43861</v>
      </c>
      <c r="C19" s="10">
        <v>43868</v>
      </c>
    </row>
    <row r="20" spans="1:3" x14ac:dyDescent="0.55000000000000004">
      <c r="A20">
        <v>17</v>
      </c>
      <c r="B20" s="10">
        <v>43868</v>
      </c>
      <c r="C20" s="10">
        <v>43875</v>
      </c>
    </row>
    <row r="21" spans="1:3" x14ac:dyDescent="0.55000000000000004">
      <c r="A21">
        <v>18</v>
      </c>
      <c r="B21" s="10">
        <v>43875</v>
      </c>
      <c r="C21" s="10">
        <v>43882</v>
      </c>
    </row>
    <row r="22" spans="1:3" x14ac:dyDescent="0.55000000000000004">
      <c r="A22">
        <v>19</v>
      </c>
      <c r="B22" s="10">
        <v>43882</v>
      </c>
      <c r="C22" s="10">
        <v>43889</v>
      </c>
    </row>
    <row r="23" spans="1:3" x14ac:dyDescent="0.55000000000000004">
      <c r="A23">
        <v>20</v>
      </c>
      <c r="B23" s="10">
        <v>43889</v>
      </c>
      <c r="C23" s="10">
        <v>43896</v>
      </c>
    </row>
    <row r="24" spans="1:3" x14ac:dyDescent="0.55000000000000004">
      <c r="A24">
        <v>21</v>
      </c>
      <c r="B24" s="10">
        <v>43896</v>
      </c>
      <c r="C24" s="10">
        <v>43903</v>
      </c>
    </row>
    <row r="25" spans="1:3" x14ac:dyDescent="0.55000000000000004">
      <c r="A25">
        <v>22</v>
      </c>
      <c r="B25" s="10">
        <v>43903</v>
      </c>
      <c r="C25" s="10">
        <v>43910</v>
      </c>
    </row>
    <row r="26" spans="1:3" x14ac:dyDescent="0.55000000000000004">
      <c r="A26">
        <v>23</v>
      </c>
      <c r="B26" s="10">
        <v>43910</v>
      </c>
      <c r="C26" s="10">
        <v>43917</v>
      </c>
    </row>
    <row r="27" spans="1:3" x14ac:dyDescent="0.55000000000000004">
      <c r="A27">
        <v>24</v>
      </c>
      <c r="B27" s="10">
        <v>43917</v>
      </c>
      <c r="C27" s="10">
        <v>43924</v>
      </c>
    </row>
    <row r="28" spans="1:3" x14ac:dyDescent="0.55000000000000004">
      <c r="A28">
        <v>25</v>
      </c>
      <c r="B28" s="10">
        <v>43924</v>
      </c>
      <c r="C28" s="10">
        <v>43931</v>
      </c>
    </row>
    <row r="29" spans="1:3" x14ac:dyDescent="0.55000000000000004">
      <c r="A29">
        <v>26</v>
      </c>
      <c r="B29" s="10">
        <v>43931</v>
      </c>
      <c r="C29" s="10">
        <v>43938</v>
      </c>
    </row>
    <row r="30" spans="1:3" x14ac:dyDescent="0.55000000000000004">
      <c r="A30">
        <v>27</v>
      </c>
      <c r="B30" s="10">
        <v>43938</v>
      </c>
      <c r="C30" s="10">
        <v>43945</v>
      </c>
    </row>
    <row r="31" spans="1:3" x14ac:dyDescent="0.55000000000000004">
      <c r="A31">
        <v>28</v>
      </c>
      <c r="B31" s="10">
        <v>43945</v>
      </c>
      <c r="C31" s="10">
        <v>43952</v>
      </c>
    </row>
    <row r="32" spans="1:3" x14ac:dyDescent="0.55000000000000004">
      <c r="A32">
        <v>29</v>
      </c>
      <c r="B32" s="10">
        <v>43952</v>
      </c>
      <c r="C32" s="10">
        <v>43959</v>
      </c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2209E-93DA-46A6-A77E-454DBEF282AE}">
  <sheetPr codeName="Sheet7">
    <pageSetUpPr fitToPage="1"/>
  </sheetPr>
  <dimension ref="A8:AJ23"/>
  <sheetViews>
    <sheetView tabSelected="1" zoomScale="51" zoomScaleNormal="60" workbookViewId="0">
      <selection activeCell="AD17" sqref="AD17"/>
    </sheetView>
  </sheetViews>
  <sheetFormatPr defaultRowHeight="14.4" x14ac:dyDescent="0.55000000000000004"/>
  <cols>
    <col min="1" max="1" width="12.62890625" customWidth="1"/>
  </cols>
  <sheetData>
    <row r="8" spans="2:36" x14ac:dyDescent="0.55000000000000004">
      <c r="B8" s="6"/>
    </row>
    <row r="11" spans="2:36" x14ac:dyDescent="0.55000000000000004">
      <c r="AJ11" s="41"/>
    </row>
    <row r="23" spans="1:1" x14ac:dyDescent="0.55000000000000004">
      <c r="A23" s="6"/>
    </row>
  </sheetData>
  <pageMargins left="0.7" right="0.7" top="0.75" bottom="0.75" header="0.3" footer="0.3"/>
  <pageSetup scale="55" orientation="landscape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Cover</vt:lpstr>
      <vt:lpstr>Work Load</vt:lpstr>
      <vt:lpstr>Tasking</vt:lpstr>
      <vt:lpstr>Milestones</vt:lpstr>
      <vt:lpstr>Dependencies</vt:lpstr>
      <vt:lpstr>Week Definitions</vt:lpstr>
      <vt:lpstr>For Presenations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Nagorski</dc:creator>
  <cp:lastModifiedBy>Victoria Nagorski</cp:lastModifiedBy>
  <cp:lastPrinted>2019-11-30T02:40:48Z</cp:lastPrinted>
  <dcterms:created xsi:type="dcterms:W3CDTF">2019-10-04T23:57:28Z</dcterms:created>
  <dcterms:modified xsi:type="dcterms:W3CDTF">2020-04-05T19:31:38Z</dcterms:modified>
</cp:coreProperties>
</file>